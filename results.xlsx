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_shi\Downloads\"/>
    </mc:Choice>
  </mc:AlternateContent>
  <xr:revisionPtr revIDLastSave="0" documentId="13_ncr:1_{0402EC0A-9BB6-4858-A553-E0083A43918A}" xr6:coauthVersionLast="47" xr6:coauthVersionMax="47" xr10:uidLastSave="{00000000-0000-0000-0000-000000000000}"/>
  <bookViews>
    <workbookView xWindow="0" yWindow="110" windowWidth="19200" windowHeight="11170" xr2:uid="{00000000-000D-0000-FFFF-FFFF00000000}"/>
  </bookViews>
  <sheets>
    <sheet name="Sheet1" sheetId="6" r:id="rId1"/>
    <sheet name="OBOG2026" sheetId="7" r:id="rId2"/>
    <sheet name="MENS2026" sheetId="1" r:id="rId3"/>
    <sheet name="WOMENS2026" sheetId="2" r:id="rId4"/>
    <sheet name="NURSING202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6" l="1"/>
  <c r="H18" i="6"/>
  <c r="J18" i="6" s="1"/>
  <c r="G18" i="6"/>
  <c r="I17" i="6"/>
  <c r="H17" i="6"/>
  <c r="J17" i="6" s="1"/>
  <c r="G17" i="6"/>
  <c r="I16" i="6"/>
  <c r="H16" i="6"/>
  <c r="J16" i="6" s="1"/>
  <c r="G16" i="6"/>
  <c r="I15" i="6"/>
  <c r="H15" i="6"/>
  <c r="J15" i="6" s="1"/>
  <c r="G15" i="6"/>
  <c r="I14" i="6"/>
  <c r="H14" i="6"/>
  <c r="J14" i="6" s="1"/>
  <c r="G14" i="6"/>
  <c r="I13" i="6"/>
  <c r="H13" i="6"/>
  <c r="J13" i="6" s="1"/>
  <c r="G13" i="6"/>
  <c r="I12" i="6"/>
  <c r="H12" i="6"/>
  <c r="J12" i="6" s="1"/>
  <c r="G12" i="6"/>
  <c r="I11" i="6"/>
  <c r="H11" i="6"/>
  <c r="G11" i="6"/>
  <c r="J10" i="6"/>
  <c r="I10" i="6"/>
  <c r="H10" i="6"/>
  <c r="G10" i="6"/>
  <c r="I9" i="6"/>
  <c r="H9" i="6"/>
  <c r="J9" i="6" s="1"/>
  <c r="G9" i="6"/>
  <c r="J8" i="6"/>
  <c r="I8" i="6"/>
  <c r="H8" i="6"/>
  <c r="G8" i="6"/>
  <c r="I7" i="6"/>
  <c r="H7" i="6"/>
  <c r="J7" i="6" s="1"/>
  <c r="G7" i="6"/>
  <c r="J6" i="6"/>
  <c r="I6" i="6"/>
  <c r="H6" i="6"/>
  <c r="G6" i="6"/>
  <c r="I5" i="6"/>
  <c r="H5" i="6"/>
  <c r="J5" i="6" s="1"/>
  <c r="I4" i="6"/>
  <c r="J4" i="6" s="1"/>
  <c r="H4" i="6"/>
  <c r="G4" i="6"/>
  <c r="I3" i="6"/>
  <c r="H3" i="6"/>
  <c r="J3" i="6" s="1"/>
  <c r="G3" i="6"/>
  <c r="I2" i="6"/>
  <c r="J2" i="6" s="1"/>
  <c r="H2" i="6"/>
  <c r="G2" i="6"/>
</calcChain>
</file>

<file path=xl/sharedStrings.xml><?xml version="1.0" encoding="utf-8"?>
<sst xmlns="http://schemas.openxmlformats.org/spreadsheetml/2006/main" count="930" uniqueCount="443">
  <si>
    <t>MatchID</t>
  </si>
  <si>
    <t>Team</t>
  </si>
  <si>
    <t>Date</t>
  </si>
  <si>
    <t>Category</t>
  </si>
  <si>
    <t>Round</t>
  </si>
  <si>
    <t>Home</t>
  </si>
  <si>
    <t>Away</t>
  </si>
  <si>
    <t>Home score</t>
  </si>
  <si>
    <t>Away Score</t>
  </si>
  <si>
    <t>Result</t>
  </si>
  <si>
    <t>Youtube</t>
  </si>
  <si>
    <t>M2026-01</t>
  </si>
  <si>
    <t>MEN</t>
  </si>
  <si>
    <t>League</t>
  </si>
  <si>
    <t>第1戦</t>
  </si>
  <si>
    <t>横浜市立大学</t>
  </si>
  <si>
    <t>https://youtu.be/KkUtSax6r5g</t>
  </si>
  <si>
    <t>M2026-02</t>
  </si>
  <si>
    <t>第2戦</t>
  </si>
  <si>
    <t>https://youtu.be/1IoP-l3guIg</t>
  </si>
  <si>
    <t>M2026-03</t>
  </si>
  <si>
    <t>2026/6/27, 7/18</t>
  </si>
  <si>
    <t>第3戦</t>
  </si>
  <si>
    <t>https://youtube.com/playlist?list=PLLElW6C9F9M4&amp;si=r1xZe4azBnVIs7iy</t>
  </si>
  <si>
    <t>M2026-04</t>
  </si>
  <si>
    <t>第4戦</t>
  </si>
  <si>
    <t>群馬大学</t>
  </si>
  <si>
    <t>https://youtu.be/pE1wsB_KxDc</t>
  </si>
  <si>
    <t>M2026-05</t>
  </si>
  <si>
    <t>Toitai</t>
  </si>
  <si>
    <t>1回戦</t>
  </si>
  <si>
    <t>https://youtu.be/fGQRI6VjNjQ</t>
  </si>
  <si>
    <t>M2026-06</t>
  </si>
  <si>
    <t>2回戦</t>
  </si>
  <si>
    <t>https://youtu.be/f0lRhsN8p0U</t>
  </si>
  <si>
    <t>W2026-01</t>
  </si>
  <si>
    <t>WOMEN</t>
  </si>
  <si>
    <t>W2026-02</t>
  </si>
  <si>
    <t>W2026-03</t>
  </si>
  <si>
    <t>W2026-04</t>
  </si>
  <si>
    <t>SUS</t>
  </si>
  <si>
    <t>W2026-05</t>
  </si>
  <si>
    <t>W2026-06</t>
  </si>
  <si>
    <t>W2026-07</t>
  </si>
  <si>
    <t>3回戦</t>
  </si>
  <si>
    <t>N2026-01</t>
  </si>
  <si>
    <t>NURSING</t>
  </si>
  <si>
    <t>N2026-02</t>
  </si>
  <si>
    <t>N2026-03</t>
  </si>
  <si>
    <t>Semifinal</t>
  </si>
  <si>
    <t>N2026-04</t>
  </si>
  <si>
    <t>Final</t>
  </si>
  <si>
    <t>OB2026-01-01</t>
  </si>
  <si>
    <t>OBOG</t>
  </si>
  <si>
    <t>https://www.youtube.com/watch?v=SiyMBDGweRw</t>
  </si>
  <si>
    <t>OB2026-01-02</t>
  </si>
  <si>
    <t>1-2</t>
  </si>
  <si>
    <t>https://youtu.be/J2Tk449raNs</t>
  </si>
  <si>
    <t>OB2026-01-03</t>
  </si>
  <si>
    <t>https://youtu.be/ELCgjPq0wVA</t>
  </si>
  <si>
    <t>OB2026-01-04</t>
  </si>
  <si>
    <t>1-4</t>
  </si>
  <si>
    <t>https://www.youtube.com/watch?v=jrMnqAdReUU</t>
  </si>
  <si>
    <t>OB2026-01-05</t>
  </si>
  <si>
    <t>https://www.youtube.com/watch?v=L1sZAR0rpcE</t>
  </si>
  <si>
    <t>OB2026-01-06</t>
  </si>
  <si>
    <t>https://www.youtube.com/watch?v=Ph51OeKBPrQ</t>
  </si>
  <si>
    <t>OB2026-01-07</t>
  </si>
  <si>
    <t>https://www.youtube.com/watch?v=70rJ-zmXqPc</t>
  </si>
  <si>
    <t>OB2026-02-01</t>
  </si>
  <si>
    <t>2-1</t>
  </si>
  <si>
    <t>https://www.youtube.com/watch?v=fF5G7BPB8ag</t>
  </si>
  <si>
    <t>OB2026-02-02</t>
  </si>
  <si>
    <t>2-2</t>
  </si>
  <si>
    <t>https://www.youtube.com/watch?v=zCkYODXXM8I</t>
  </si>
  <si>
    <t>OB2026-02-03</t>
  </si>
  <si>
    <t>2-3</t>
  </si>
  <si>
    <t>https://www.youtube.com/watch?v=Aw4E4hTb5rg</t>
  </si>
  <si>
    <t>OB2026-02-04</t>
  </si>
  <si>
    <t>2-4</t>
  </si>
  <si>
    <t>https://www.youtube.com/watch?v=ZptjWa9x7KE</t>
  </si>
  <si>
    <t>OB2026-02-05</t>
  </si>
  <si>
    <t>https://www.youtube.com/watch?v=moL9v71oF9Y</t>
  </si>
  <si>
    <t>OB2026-02-06</t>
  </si>
  <si>
    <t>https://youtu.be/nybQkEeNGKY</t>
  </si>
  <si>
    <t>OB2026-02-07</t>
  </si>
  <si>
    <t>https://www.youtube.com/watch?v=wwmGLxGECcU</t>
  </si>
  <si>
    <t>OB2026-03-01</t>
  </si>
  <si>
    <t>https://www.youtube.com/watch?v=b8_tckpUmBY</t>
  </si>
  <si>
    <t>OB2026-03-02</t>
  </si>
  <si>
    <t>3-2</t>
  </si>
  <si>
    <t>https://www.youtube.com/watch?v=YmCFpmGXMYk</t>
  </si>
  <si>
    <t>OB2026-03-03</t>
  </si>
  <si>
    <t>3-3</t>
  </si>
  <si>
    <t>OB2026-03-04</t>
  </si>
  <si>
    <t>OB2026-03-05</t>
  </si>
  <si>
    <t>OB2026-03-06</t>
  </si>
  <si>
    <t>OB2026-03-07</t>
  </si>
  <si>
    <t>MATCHID</t>
  </si>
  <si>
    <t>3番コート</t>
  </si>
  <si>
    <t>2番コート</t>
  </si>
  <si>
    <t>1番コート</t>
  </si>
  <si>
    <t xml:space="preserve">Home </t>
  </si>
  <si>
    <t>1試合目</t>
  </si>
  <si>
    <t>松田(H3)・比留間(H61)</t>
  </si>
  <si>
    <t>于(H13)・西山(H15)</t>
  </si>
  <si>
    <t>今田(S49)・小林(⑤)</t>
  </si>
  <si>
    <t>0-4</t>
  </si>
  <si>
    <t>倉橋(H1)・寺崎(③)</t>
  </si>
  <si>
    <t>猿渡(S61)・松浦(⑥)</t>
  </si>
  <si>
    <t>杉田(544)・小栗(④)</t>
  </si>
  <si>
    <t>2試合目</t>
  </si>
  <si>
    <t>留野(H19)・東(⑥)</t>
  </si>
  <si>
    <t>関口(H29)・槙山(④)</t>
  </si>
  <si>
    <t>山本(④)・田之頭(④)</t>
  </si>
  <si>
    <t>4-1</t>
  </si>
  <si>
    <t>辰巳(H12)・服部(H11)</t>
  </si>
  <si>
    <t>米田(H13)・小柳(④)</t>
  </si>
  <si>
    <t>加藤(H21)・橋本(③)</t>
  </si>
  <si>
    <t>3試合目</t>
  </si>
  <si>
    <t>田中(R3)・小野田(R8)</t>
  </si>
  <si>
    <t>山本・田之頭</t>
  </si>
  <si>
    <t>三谷(⑤)・阿部(H11)</t>
  </si>
  <si>
    <t>川上(R2)・服部(H11)</t>
  </si>
  <si>
    <t>西田(⑥)・才田(①)</t>
  </si>
  <si>
    <t>三宅(H19)・都竹(H29)</t>
  </si>
  <si>
    <t>4試合目</t>
  </si>
  <si>
    <t>安井(R4)・逸見(R4)</t>
  </si>
  <si>
    <t>3-0</t>
  </si>
  <si>
    <t>小林(④)・土岐(④)</t>
  </si>
  <si>
    <t>留野(H19)・槙山(④)</t>
  </si>
  <si>
    <t>杉田(S54)・小柳(④)</t>
  </si>
  <si>
    <t>松浦(⑥)・植田(①)</t>
  </si>
  <si>
    <t>黒田(R6)・東(⑥)</t>
  </si>
  <si>
    <t>5試合目</t>
  </si>
  <si>
    <t>鏡(⑥)・土岐(④)</t>
  </si>
  <si>
    <t>柳(H29)・安井(R4)</t>
  </si>
  <si>
    <t>辰巳(H12)・于(H13)</t>
  </si>
  <si>
    <t>服部(H11)・小林(⑤)</t>
  </si>
  <si>
    <t>猿渡(S61)・今田(S49)</t>
  </si>
  <si>
    <t>倉橋(H1)・加藤(H21)</t>
  </si>
  <si>
    <t>6試合目</t>
  </si>
  <si>
    <t>津久井(③)・比留間(H61)</t>
  </si>
  <si>
    <t>加瀬(②)・松田(H3)</t>
  </si>
  <si>
    <t>三谷(⑤)・阿部(②)</t>
  </si>
  <si>
    <t>関口(H29)・田中(R3)</t>
  </si>
  <si>
    <t>小林(⑤)・後藤(H20)</t>
  </si>
  <si>
    <t>7試合目</t>
  </si>
  <si>
    <t>鏡(⑥)・小林(④)</t>
  </si>
  <si>
    <t>西山(H15)・柳(H29)</t>
  </si>
  <si>
    <t>川上(R2)・小野田(R8)</t>
  </si>
  <si>
    <t>米田(H13)・杉田(S54)</t>
  </si>
  <si>
    <t>後藤(H20)・今田(S49)</t>
  </si>
  <si>
    <t>男子２部リーグ 第１戦 5/17</t>
  </si>
  <si>
    <t>男子2部リーグ 第2戦 5/31</t>
  </si>
  <si>
    <t>VS</t>
  </si>
  <si>
    <t>東京科学大学</t>
  </si>
  <si>
    <t>東京慈恵会医科大学</t>
  </si>
  <si>
    <t>D 1-2</t>
  </si>
  <si>
    <t>D 2-1</t>
  </si>
  <si>
    <t>S 2-4</t>
  </si>
  <si>
    <t>S 1-5</t>
  </si>
  <si>
    <t>D1</t>
  </si>
  <si>
    <t>●</t>
  </si>
  <si>
    <t>西田・田之頭</t>
  </si>
  <si>
    <t>3-6,6-7(0)</t>
  </si>
  <si>
    <t>丸田・長瀬</t>
  </si>
  <si>
    <t>○</t>
  </si>
  <si>
    <t>三谷・才田</t>
  </si>
  <si>
    <t>6-2,4-6,10-6</t>
  </si>
  <si>
    <t>高橋・永田</t>
  </si>
  <si>
    <t>D2</t>
  </si>
  <si>
    <t>山本・阿部</t>
  </si>
  <si>
    <t>2-6,3-6</t>
  </si>
  <si>
    <t>吉田・川原</t>
  </si>
  <si>
    <t>西田・阿部</t>
  </si>
  <si>
    <t>2-6,0-6</t>
  </si>
  <si>
    <t>石井・高木</t>
  </si>
  <si>
    <t>D3</t>
  </si>
  <si>
    <t>〇</t>
  </si>
  <si>
    <t>6-1,4-6,10-6</t>
  </si>
  <si>
    <t>松木・今枝</t>
  </si>
  <si>
    <t>6-0,6-0</t>
  </si>
  <si>
    <t>神人・中神</t>
  </si>
  <si>
    <t>S1</t>
  </si>
  <si>
    <t>三谷</t>
  </si>
  <si>
    <t>6-4,6-2</t>
  </si>
  <si>
    <t>松木</t>
  </si>
  <si>
    <t>才田</t>
  </si>
  <si>
    <t>1-6,2-6</t>
  </si>
  <si>
    <t>石井</t>
  </si>
  <si>
    <t>S2</t>
  </si>
  <si>
    <t>西田</t>
  </si>
  <si>
    <t>長瀬</t>
  </si>
  <si>
    <t>6-4,6-3</t>
  </si>
  <si>
    <t>髙木</t>
  </si>
  <si>
    <t>S3</t>
  </si>
  <si>
    <t>3-6,5-7</t>
  </si>
  <si>
    <t>川原</t>
  </si>
  <si>
    <t>4-6,1-6</t>
  </si>
  <si>
    <t>高橋</t>
  </si>
  <si>
    <t>S4</t>
  </si>
  <si>
    <t>山本</t>
  </si>
  <si>
    <t>5-7,4-6</t>
  </si>
  <si>
    <t>吉田</t>
  </si>
  <si>
    <t>6-3,6-1</t>
  </si>
  <si>
    <t>永田</t>
  </si>
  <si>
    <t>S5</t>
  </si>
  <si>
    <t>小林</t>
  </si>
  <si>
    <t>6-1,7-5</t>
  </si>
  <si>
    <t>安田</t>
  </si>
  <si>
    <t>田之頭</t>
  </si>
  <si>
    <t>神人</t>
  </si>
  <si>
    <t>S6</t>
  </si>
  <si>
    <t>1-6,6-1,3-6</t>
  </si>
  <si>
    <t>丸田</t>
  </si>
  <si>
    <t>6-2,6-2</t>
  </si>
  <si>
    <t>岡田</t>
  </si>
  <si>
    <t>男子2部リーグ 第3戦 6/27, 7/18</t>
  </si>
  <si>
    <t>男子部リーグ 第4戦 7/12</t>
  </si>
  <si>
    <t>東京大学</t>
  </si>
  <si>
    <t>S 2-3</t>
  </si>
  <si>
    <t>S 3-3</t>
  </si>
  <si>
    <t>三谷・才田 </t>
  </si>
  <si>
    <t>6-3,6-3</t>
  </si>
  <si>
    <t>江崎・池口</t>
  </si>
  <si>
    <t>6-0,6-1</t>
  </si>
  <si>
    <t>佐賀・加藤</t>
  </si>
  <si>
    <t>西田・阿部 </t>
  </si>
  <si>
    <t>4-6,3-6</t>
  </si>
  <si>
    <t>別所・ウー</t>
  </si>
  <si>
    <t>4-6,6-7(5)</t>
  </si>
  <si>
    <t>宮本・上杉</t>
  </si>
  <si>
    <t>山本・田ノ頭 </t>
  </si>
  <si>
    <t>5-7,6-0,6-10</t>
  </si>
  <si>
    <t>小野・竹林</t>
  </si>
  <si>
    <t>2-6,2-6</t>
  </si>
  <si>
    <t>山田・三原</t>
  </si>
  <si>
    <t>三谷 </t>
  </si>
  <si>
    <t>4-6,4-6</t>
  </si>
  <si>
    <t>ウー</t>
  </si>
  <si>
    <t>5-7,2-6</t>
  </si>
  <si>
    <t>山田</t>
  </si>
  <si>
    <t>才田 </t>
  </si>
  <si>
    <t>5-7,6-7(4)</t>
  </si>
  <si>
    <t>別所</t>
  </si>
  <si>
    <t>1-6,4-6</t>
  </si>
  <si>
    <t>宮本</t>
  </si>
  <si>
    <t>山本 </t>
  </si>
  <si>
    <t>6-2,5-7,5-7</t>
  </si>
  <si>
    <t>小野</t>
  </si>
  <si>
    <t>6-2,7-6(3)</t>
  </si>
  <si>
    <t>林（竜）</t>
  </si>
  <si>
    <t>西田 </t>
  </si>
  <si>
    <t>6-3,6-2</t>
  </si>
  <si>
    <t>江崎</t>
  </si>
  <si>
    <t>上杉</t>
  </si>
  <si>
    <t>小林 </t>
  </si>
  <si>
    <t>6-3,6-4</t>
  </si>
  <si>
    <t>竹林</t>
  </si>
  <si>
    <t>6-4,6-4</t>
  </si>
  <si>
    <t>林（俊）</t>
  </si>
  <si>
    <t>田之頭 </t>
  </si>
  <si>
    <t>6-4,4-5sus</t>
  </si>
  <si>
    <t>齋藤</t>
  </si>
  <si>
    <t>7-5,6-2</t>
  </si>
  <si>
    <t>今井</t>
  </si>
  <si>
    <t>男子 東医体 1回戦 8/1</t>
  </si>
  <si>
    <t>男子 東医体 2回戦 8/2</t>
  </si>
  <si>
    <t>東海大学</t>
  </si>
  <si>
    <t>防衛医科大学</t>
  </si>
  <si>
    <t>D 1-1</t>
  </si>
  <si>
    <t>S 3-0</t>
  </si>
  <si>
    <t>S 1-2</t>
  </si>
  <si>
    <t>3-6,1-6</t>
  </si>
  <si>
    <t>内田・森田</t>
  </si>
  <si>
    <t>3-6,6-1,5-7</t>
  </si>
  <si>
    <t>宇野・下田代</t>
  </si>
  <si>
    <t>6-3,3-6,6-0</t>
  </si>
  <si>
    <t>川崎・尾花</t>
  </si>
  <si>
    <t>浅野・立川</t>
  </si>
  <si>
    <t>7-5,6-4</t>
  </si>
  <si>
    <t>早川</t>
  </si>
  <si>
    <t>1-6,1-6</t>
  </si>
  <si>
    <t>6-1,6-0</t>
  </si>
  <si>
    <t>中島</t>
  </si>
  <si>
    <t>6-2,6-3</t>
  </si>
  <si>
    <t>佐藤</t>
  </si>
  <si>
    <t>7-6(2),1-0ret.</t>
  </si>
  <si>
    <t>池田</t>
  </si>
  <si>
    <t>女子1部リーグ　第1戦 5/10</t>
  </si>
  <si>
    <t>女子1部リーグ　第2戦 5/17</t>
  </si>
  <si>
    <t>日本大学</t>
  </si>
  <si>
    <t>慶應義塾大学</t>
  </si>
  <si>
    <t>D 0-2</t>
  </si>
  <si>
    <t>S 0-3</t>
  </si>
  <si>
    <t>鏡・土岐 </t>
  </si>
  <si>
    <t>6-2, 7-5</t>
  </si>
  <si>
    <t>水野・南 </t>
  </si>
  <si>
    <t>小林・土岐</t>
  </si>
  <si>
    <t>0-6,1-6</t>
  </si>
  <si>
    <t>森川・柳川</t>
  </si>
  <si>
    <t>小林・津久井</t>
  </si>
  <si>
    <t>1-6, 0-6</t>
  </si>
  <si>
    <t>金野・杉山 </t>
  </si>
  <si>
    <t>鏡・丸田</t>
  </si>
  <si>
    <t>生田・田村</t>
  </si>
  <si>
    <t>鏡</t>
  </si>
  <si>
    <t>0-6, 4-6</t>
  </si>
  <si>
    <t>金野</t>
  </si>
  <si>
    <t>森川</t>
  </si>
  <si>
    <t>0-6, 0-6 </t>
  </si>
  <si>
    <t>杉山 </t>
  </si>
  <si>
    <t>津久井</t>
  </si>
  <si>
    <t>田村</t>
  </si>
  <si>
    <t>土岐</t>
  </si>
  <si>
    <t>4-6, 6-7(1)</t>
  </si>
  <si>
    <t>水野 </t>
  </si>
  <si>
    <t>6-7(7),def</t>
  </si>
  <si>
    <t>柳川</t>
  </si>
  <si>
    <t>女子1部リーグ　第3戦 5/31</t>
  </si>
  <si>
    <t>女子1部リーグ　第4戦 6/7, 9/13</t>
  </si>
  <si>
    <t>日本医科大学</t>
  </si>
  <si>
    <t>D -</t>
  </si>
  <si>
    <t>S -</t>
  </si>
  <si>
    <t>鏡・丸田 </t>
  </si>
  <si>
    <t>6-4, 6-1</t>
  </si>
  <si>
    <t>村松・小林</t>
  </si>
  <si>
    <t>6-6sus</t>
  </si>
  <si>
    <t>宮内・矢島</t>
  </si>
  <si>
    <t>4-6, 4-6</t>
  </si>
  <si>
    <t>森本・滝本 </t>
  </si>
  <si>
    <t>6-2,1-2sus</t>
  </si>
  <si>
    <t>笠原・木虎</t>
  </si>
  <si>
    <t>2-6, 0-6</t>
  </si>
  <si>
    <t>滝本</t>
  </si>
  <si>
    <t>sus</t>
  </si>
  <si>
    <t>矢島</t>
  </si>
  <si>
    <t>6-3, 6-1</t>
  </si>
  <si>
    <t>森本 </t>
  </si>
  <si>
    <t>宮内</t>
  </si>
  <si>
    <t>6-2, 7-6(5)</t>
  </si>
  <si>
    <t>木虎</t>
  </si>
  <si>
    <t>女子 東医体　第1戦 8/2</t>
  </si>
  <si>
    <t>女子 東医体　第2戦 8/3</t>
  </si>
  <si>
    <t>東京医科大学</t>
  </si>
  <si>
    <t>D 1-0</t>
  </si>
  <si>
    <t>S 1-1</t>
  </si>
  <si>
    <t>鏡・小林</t>
  </si>
  <si>
    <t>藤井・田中 </t>
  </si>
  <si>
    <t>7-5,3-6,0-6</t>
  </si>
  <si>
    <t>鈴木・諸川</t>
  </si>
  <si>
    <t>尾形 </t>
  </si>
  <si>
    <t>高木</t>
  </si>
  <si>
    <t>清水 </t>
  </si>
  <si>
    <t>6-2,3-6,6-2</t>
  </si>
  <si>
    <t>武藤</t>
  </si>
  <si>
    <t>女子 東医体　第3戦 8/4</t>
  </si>
  <si>
    <t>福島県立医科大学</t>
  </si>
  <si>
    <t>D 0-1</t>
  </si>
  <si>
    <t>S 0-2</t>
  </si>
  <si>
    <t>鏡・土岐</t>
  </si>
  <si>
    <t>鎌田・本田</t>
  </si>
  <si>
    <t>0-6sus</t>
  </si>
  <si>
    <t>吉野</t>
  </si>
  <si>
    <t>0-6,0-6</t>
  </si>
  <si>
    <t>鳴海</t>
  </si>
  <si>
    <t>看護リーグ 予選リーグ 第1戦 8/15</t>
  </si>
  <si>
    <t>看護リーグ 予選リーグ 第2戦 8/16</t>
  </si>
  <si>
    <t>山梨大学</t>
  </si>
  <si>
    <t>S 2-1</t>
  </si>
  <si>
    <t>宮﨑・南</t>
  </si>
  <si>
    <t>6-7(4),4-6</t>
  </si>
  <si>
    <t>舟橋・満吉</t>
  </si>
  <si>
    <t>5-7,6-2,6-0</t>
  </si>
  <si>
    <t>細川・森</t>
  </si>
  <si>
    <t>荒井・村山</t>
  </si>
  <si>
    <t>6-2,6-4</t>
  </si>
  <si>
    <t>松林・中山</t>
  </si>
  <si>
    <t>5-7,6-1,3-0sus</t>
  </si>
  <si>
    <t>徳永・中兼</t>
  </si>
  <si>
    <t>小泉</t>
  </si>
  <si>
    <t>桒原</t>
  </si>
  <si>
    <t>野口</t>
  </si>
  <si>
    <t>渡邊</t>
  </si>
  <si>
    <t>宮原</t>
  </si>
  <si>
    <t>程島</t>
  </si>
  <si>
    <t>中條</t>
  </si>
  <si>
    <t>松浦</t>
  </si>
  <si>
    <t>6-2,2-6,1-6</t>
  </si>
  <si>
    <t>岩崎</t>
  </si>
  <si>
    <t>看護リーグ 準決勝 8/17</t>
  </si>
  <si>
    <t>看護リーグ 決勝 8/18</t>
  </si>
  <si>
    <t>千葉大学</t>
  </si>
  <si>
    <t>S 2-0</t>
  </si>
  <si>
    <t>3-6,2-1sus</t>
  </si>
  <si>
    <t>舟橋・中山</t>
  </si>
  <si>
    <t> ●</t>
  </si>
  <si>
    <t>3-6,4-6</t>
  </si>
  <si>
    <t>藤堂・山内</t>
  </si>
  <si>
    <t>宮﨑・中條</t>
  </si>
  <si>
    <t>6-2,6-1</t>
  </si>
  <si>
    <t>松林・満吉</t>
  </si>
  <si>
    <t>西尾・平山</t>
  </si>
  <si>
    <t>6-4,3-1sus</t>
  </si>
  <si>
    <t>6-3sus</t>
  </si>
  <si>
    <t>長田</t>
  </si>
  <si>
    <t>6-2,4-6,0-6</t>
  </si>
  <si>
    <t>須田</t>
  </si>
  <si>
    <t>田中</t>
  </si>
  <si>
    <t>寺田</t>
  </si>
  <si>
    <t>大林</t>
  </si>
  <si>
    <t>三宅(H19)・都竹(H29)</t>
    <phoneticPr fontId="10"/>
  </si>
  <si>
    <t>杉田(S44)・小栗(4)</t>
    <phoneticPr fontId="10"/>
  </si>
  <si>
    <t>猿渡(S61)・松浦(6)</t>
    <phoneticPr fontId="10"/>
  </si>
  <si>
    <t>米田(H13)・小柳(4)</t>
    <phoneticPr fontId="10"/>
  </si>
  <si>
    <t>加藤(H21)・橋本(3)</t>
    <phoneticPr fontId="10"/>
  </si>
  <si>
    <t>黒田(R6)・東(6)</t>
    <phoneticPr fontId="10"/>
  </si>
  <si>
    <t>西田(6)・才田(1)</t>
    <phoneticPr fontId="10"/>
  </si>
  <si>
    <t>松浦(6)・植田(1)</t>
    <phoneticPr fontId="10"/>
  </si>
  <si>
    <t>小林(5)・後藤(H20)</t>
    <phoneticPr fontId="10"/>
  </si>
  <si>
    <t>今田(S49)・小林(5)</t>
    <phoneticPr fontId="10"/>
  </si>
  <si>
    <t>倉橋(H1)・寺崎(3)</t>
    <phoneticPr fontId="10"/>
  </si>
  <si>
    <t>山本(4)・田之頭(4)</t>
    <phoneticPr fontId="10"/>
  </si>
  <si>
    <t>三谷(5)・阿部(H11)</t>
    <phoneticPr fontId="10"/>
  </si>
  <si>
    <t>留野(H19)・槙山(4)</t>
    <phoneticPr fontId="10"/>
  </si>
  <si>
    <t>杉田(S54)・小柳(4)</t>
    <phoneticPr fontId="10"/>
  </si>
  <si>
    <t>服部(H11)・小林(5)</t>
    <phoneticPr fontId="10"/>
  </si>
  <si>
    <t>三谷(5)・阿部(2)</t>
    <phoneticPr fontId="10"/>
  </si>
  <si>
    <t>留野(H19)・東(6)</t>
    <phoneticPr fontId="10"/>
  </si>
  <si>
    <t>関口(H29)・槙山(4)</t>
    <phoneticPr fontId="10"/>
  </si>
  <si>
    <t>小林(4)・土岐(4)</t>
    <phoneticPr fontId="10"/>
  </si>
  <si>
    <t>鏡(6)・土岐(4)</t>
    <phoneticPr fontId="10"/>
  </si>
  <si>
    <t>津久井(3)・比留間(H61)</t>
    <phoneticPr fontId="10"/>
  </si>
  <si>
    <t>加瀬(2)・松田(H3)</t>
    <phoneticPr fontId="10"/>
  </si>
  <si>
    <t>鏡(6)・小林(4)</t>
    <phoneticPr fontId="10"/>
  </si>
  <si>
    <t>第1試合</t>
    <rPh sb="0" eb="1">
      <t>ダイ</t>
    </rPh>
    <rPh sb="2" eb="4">
      <t>シアイ</t>
    </rPh>
    <phoneticPr fontId="10"/>
  </si>
  <si>
    <t>第2試合</t>
    <rPh sb="0" eb="1">
      <t>ダイ</t>
    </rPh>
    <rPh sb="2" eb="4">
      <t>シアイ</t>
    </rPh>
    <phoneticPr fontId="10"/>
  </si>
  <si>
    <t>第3試合</t>
    <rPh sb="0" eb="1">
      <t>ダイ</t>
    </rPh>
    <rPh sb="2" eb="4">
      <t>シアイ</t>
    </rPh>
    <phoneticPr fontId="10"/>
  </si>
  <si>
    <t>第4試合</t>
    <rPh sb="0" eb="1">
      <t>ダイ</t>
    </rPh>
    <rPh sb="2" eb="4">
      <t>シアイ</t>
    </rPh>
    <phoneticPr fontId="10"/>
  </si>
  <si>
    <t>第5試合</t>
    <rPh sb="0" eb="1">
      <t>ダイ</t>
    </rPh>
    <rPh sb="2" eb="4">
      <t>シアイ</t>
    </rPh>
    <phoneticPr fontId="10"/>
  </si>
  <si>
    <t>第6試合</t>
    <rPh sb="0" eb="1">
      <t>ダイ</t>
    </rPh>
    <rPh sb="2" eb="4">
      <t>シアイ</t>
    </rPh>
    <phoneticPr fontId="10"/>
  </si>
  <si>
    <t>第7試合</t>
    <rPh sb="0" eb="1">
      <t>ダイ</t>
    </rPh>
    <rPh sb="2" eb="4">
      <t>シアイ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</si>
</sst>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</font>
    <font>
      <sz val="10"/>
      <color theme="1"/>
      <name val="游明朝"/>
      <family val="1"/>
      <charset val="128"/>
    </font>
    <font>
      <sz val="10"/>
      <color theme="1"/>
      <name val="ＭＳ 明朝"/>
      <family val="1"/>
      <charset val="128"/>
    </font>
    <font>
      <sz val="24"/>
      <color theme="1"/>
      <name val="ＭＳ 明朝"/>
      <family val="1"/>
      <charset val="128"/>
    </font>
    <font>
      <sz val="24"/>
      <color rgb="FF000000"/>
      <name val="ＭＳ 明朝"/>
      <family val="1"/>
      <charset val="128"/>
    </font>
    <font>
      <sz val="14"/>
      <color theme="1"/>
      <name val="游ゴシック"/>
      <family val="3"/>
      <charset val="128"/>
    </font>
    <font>
      <sz val="14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sz val="11"/>
      <color theme="10"/>
      <name val="游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7" fillId="0" borderId="0" xfId="0" applyFont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11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14" fontId="7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9" fillId="0" borderId="0" xfId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ハイパーリンク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L1sZAR0rpcE" TargetMode="External"/><Relationship Id="rId2" Type="http://schemas.openxmlformats.org/officeDocument/2006/relationships/hyperlink" Target="https://www.youtube.com/watch?v=jrMnqAdReUU" TargetMode="External"/><Relationship Id="rId1" Type="http://schemas.openxmlformats.org/officeDocument/2006/relationships/hyperlink" Target="https://youtu.be/ELCgjPq0w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27" zoomScale="104" zoomScaleNormal="104" workbookViewId="0">
      <selection activeCell="E28" sqref="E28"/>
    </sheetView>
  </sheetViews>
  <sheetFormatPr defaultRowHeight="18" x14ac:dyDescent="0.55000000000000004"/>
  <cols>
    <col min="1" max="1" width="14.25" customWidth="1"/>
    <col min="3" max="3" width="15.33203125" customWidth="1"/>
    <col min="4" max="4" width="10.08203125" customWidth="1"/>
    <col min="5" max="5" width="10.5" customWidth="1"/>
    <col min="6" max="6" width="25.25" bestFit="1" customWidth="1"/>
    <col min="7" max="7" width="22" bestFit="1" customWidth="1"/>
    <col min="8" max="8" width="13" customWidth="1"/>
    <col min="9" max="9" width="12.75" customWidth="1"/>
    <col min="11" max="11" width="34.9140625" customWidth="1"/>
  </cols>
  <sheetData>
    <row r="1" spans="1:11" x14ac:dyDescent="0.5500000000000000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</row>
    <row r="2" spans="1:11" x14ac:dyDescent="0.55000000000000004">
      <c r="A2" s="9" t="s">
        <v>11</v>
      </c>
      <c r="B2" s="9" t="s">
        <v>12</v>
      </c>
      <c r="C2" s="16">
        <v>46159</v>
      </c>
      <c r="D2" s="9" t="s">
        <v>13</v>
      </c>
      <c r="E2" s="9" t="s">
        <v>14</v>
      </c>
      <c r="F2" s="9" t="s">
        <v>15</v>
      </c>
      <c r="G2" s="9" t="str">
        <f>MENS2026!$F$3</f>
        <v>東京科学大学</v>
      </c>
      <c r="H2" s="9">
        <f>MENS2026!$D$4</f>
        <v>3</v>
      </c>
      <c r="I2" s="9">
        <f>MENS2026!$F$4</f>
        <v>6</v>
      </c>
      <c r="J2" s="9" t="str">
        <f>IF(H2&gt;I2,"WIN",IF(H2&lt;I2,"LOSS",""))</f>
        <v>LOSS</v>
      </c>
      <c r="K2" s="9" t="s">
        <v>16</v>
      </c>
    </row>
    <row r="3" spans="1:11" x14ac:dyDescent="0.55000000000000004">
      <c r="A3" s="9" t="s">
        <v>17</v>
      </c>
      <c r="B3" s="9" t="s">
        <v>12</v>
      </c>
      <c r="C3" s="16">
        <v>46173</v>
      </c>
      <c r="D3" s="9" t="s">
        <v>13</v>
      </c>
      <c r="E3" s="9" t="s">
        <v>18</v>
      </c>
      <c r="F3" s="9" t="s">
        <v>15</v>
      </c>
      <c r="G3" s="9" t="str">
        <f>MENS2026!$L$3</f>
        <v>東京慈恵会医科大学</v>
      </c>
      <c r="H3" s="9">
        <f>MENS2026!$J$4</f>
        <v>6</v>
      </c>
      <c r="I3" s="9">
        <f>MENS2026!$L$4</f>
        <v>3</v>
      </c>
      <c r="J3" s="9" t="str">
        <f t="shared" ref="J3:J16" si="0">IF(H3&gt;I3,"WIN",IF(H3&lt;I3,"LOSS",""))</f>
        <v>WIN</v>
      </c>
      <c r="K3" s="9" t="s">
        <v>19</v>
      </c>
    </row>
    <row r="4" spans="1:11" x14ac:dyDescent="0.55000000000000004">
      <c r="A4" s="9" t="s">
        <v>20</v>
      </c>
      <c r="B4" s="9" t="s">
        <v>12</v>
      </c>
      <c r="C4" s="9" t="s">
        <v>21</v>
      </c>
      <c r="D4" s="9" t="s">
        <v>13</v>
      </c>
      <c r="E4" s="9" t="s">
        <v>22</v>
      </c>
      <c r="F4" s="9" t="s">
        <v>15</v>
      </c>
      <c r="G4" s="9" t="str">
        <f>MENS2026!$F$17</f>
        <v>東京大学</v>
      </c>
      <c r="H4" s="9">
        <f>MENS2026!$D$18</f>
        <v>3</v>
      </c>
      <c r="I4" s="9">
        <f>MENS2026!$F$18</f>
        <v>5</v>
      </c>
      <c r="J4" s="9" t="str">
        <f t="shared" si="0"/>
        <v>LOSS</v>
      </c>
      <c r="K4" s="9" t="s">
        <v>23</v>
      </c>
    </row>
    <row r="5" spans="1:11" x14ac:dyDescent="0.55000000000000004">
      <c r="A5" s="9" t="s">
        <v>24</v>
      </c>
      <c r="B5" s="9" t="s">
        <v>12</v>
      </c>
      <c r="C5" s="16">
        <v>46215</v>
      </c>
      <c r="D5" s="9" t="s">
        <v>13</v>
      </c>
      <c r="E5" s="9" t="s">
        <v>25</v>
      </c>
      <c r="F5" s="9" t="s">
        <v>15</v>
      </c>
      <c r="G5" s="9" t="s">
        <v>26</v>
      </c>
      <c r="H5" s="9">
        <f>MENS2026!$J$18</f>
        <v>4</v>
      </c>
      <c r="I5" s="9">
        <f>MENS2026!$L$18</f>
        <v>5</v>
      </c>
      <c r="J5" s="9" t="str">
        <f t="shared" si="0"/>
        <v>LOSS</v>
      </c>
      <c r="K5" s="9" t="s">
        <v>27</v>
      </c>
    </row>
    <row r="6" spans="1:11" x14ac:dyDescent="0.55000000000000004">
      <c r="A6" s="9" t="s">
        <v>28</v>
      </c>
      <c r="B6" s="9" t="s">
        <v>12</v>
      </c>
      <c r="C6" s="16">
        <v>46235</v>
      </c>
      <c r="D6" s="9" t="s">
        <v>29</v>
      </c>
      <c r="E6" s="9" t="s">
        <v>30</v>
      </c>
      <c r="F6" s="9" t="s">
        <v>15</v>
      </c>
      <c r="G6" s="9" t="str">
        <f>MENS2026!$F$31</f>
        <v>東海大学</v>
      </c>
      <c r="H6" s="9">
        <f>MENS2026!$D$32</f>
        <v>4</v>
      </c>
      <c r="I6" s="9">
        <f>MENS2026!$F$32</f>
        <v>1</v>
      </c>
      <c r="J6" s="9" t="str">
        <f t="shared" si="0"/>
        <v>WIN</v>
      </c>
      <c r="K6" s="9" t="s">
        <v>31</v>
      </c>
    </row>
    <row r="7" spans="1:11" x14ac:dyDescent="0.55000000000000004">
      <c r="A7" s="9" t="s">
        <v>32</v>
      </c>
      <c r="B7" s="9" t="s">
        <v>12</v>
      </c>
      <c r="C7" s="16">
        <v>46236</v>
      </c>
      <c r="D7" s="9" t="s">
        <v>29</v>
      </c>
      <c r="E7" s="9" t="s">
        <v>33</v>
      </c>
      <c r="F7" s="9" t="s">
        <v>15</v>
      </c>
      <c r="G7" s="9" t="str">
        <f>MENS2026!$L$31</f>
        <v>防衛医科大学</v>
      </c>
      <c r="H7" s="9">
        <f>MENS2026!$J$32</f>
        <v>2</v>
      </c>
      <c r="I7" s="9">
        <f>MENS2026!$L$32</f>
        <v>3</v>
      </c>
      <c r="J7" s="9" t="str">
        <f t="shared" si="0"/>
        <v>LOSS</v>
      </c>
      <c r="K7" s="9" t="s">
        <v>34</v>
      </c>
    </row>
    <row r="8" spans="1:11" x14ac:dyDescent="0.55000000000000004">
      <c r="A8" s="9" t="s">
        <v>35</v>
      </c>
      <c r="B8" s="9" t="s">
        <v>36</v>
      </c>
      <c r="C8" s="16">
        <v>46152</v>
      </c>
      <c r="D8" s="9" t="s">
        <v>13</v>
      </c>
      <c r="E8" s="9" t="s">
        <v>14</v>
      </c>
      <c r="F8" s="9" t="s">
        <v>15</v>
      </c>
      <c r="G8" s="9" t="str">
        <f>WOMENS2026!$F$3</f>
        <v>日本大学</v>
      </c>
      <c r="H8" s="9">
        <f>WOMENS2026!$D$4</f>
        <v>1</v>
      </c>
      <c r="I8" s="9">
        <f>WOMENS2026!$F$4</f>
        <v>4</v>
      </c>
      <c r="J8" s="9" t="str">
        <f t="shared" si="0"/>
        <v>LOSS</v>
      </c>
      <c r="K8" s="9"/>
    </row>
    <row r="9" spans="1:11" x14ac:dyDescent="0.55000000000000004">
      <c r="A9" s="9" t="s">
        <v>37</v>
      </c>
      <c r="B9" s="9" t="s">
        <v>36</v>
      </c>
      <c r="C9" s="16">
        <v>46159</v>
      </c>
      <c r="D9" s="9" t="s">
        <v>13</v>
      </c>
      <c r="E9" s="9" t="s">
        <v>18</v>
      </c>
      <c r="F9" s="9" t="s">
        <v>15</v>
      </c>
      <c r="G9" s="9" t="str">
        <f>WOMENS2026!$L$3</f>
        <v>慶應義塾大学</v>
      </c>
      <c r="H9" s="9">
        <f>WOMENS2026!$J$4</f>
        <v>0</v>
      </c>
      <c r="I9" s="9">
        <f>WOMENS2026!$L$4</f>
        <v>5</v>
      </c>
      <c r="J9" s="9" t="str">
        <f t="shared" si="0"/>
        <v>LOSS</v>
      </c>
      <c r="K9" s="9"/>
    </row>
    <row r="10" spans="1:11" x14ac:dyDescent="0.55000000000000004">
      <c r="A10" s="9" t="s">
        <v>38</v>
      </c>
      <c r="B10" s="9" t="s">
        <v>36</v>
      </c>
      <c r="C10" s="16">
        <v>46173</v>
      </c>
      <c r="D10" s="9" t="s">
        <v>13</v>
      </c>
      <c r="E10" s="9" t="s">
        <v>22</v>
      </c>
      <c r="F10" s="9" t="s">
        <v>15</v>
      </c>
      <c r="G10" s="9" t="str">
        <f>WOMENS2026!$F$13</f>
        <v>日本医科大学</v>
      </c>
      <c r="H10" s="9">
        <f>WOMENS2026!$D$14</f>
        <v>3</v>
      </c>
      <c r="I10" s="9">
        <f>WOMENS2026!$F$14</f>
        <v>2</v>
      </c>
      <c r="J10" s="9" t="str">
        <f t="shared" si="0"/>
        <v>WIN</v>
      </c>
      <c r="K10" s="9"/>
    </row>
    <row r="11" spans="1:11" x14ac:dyDescent="0.55000000000000004">
      <c r="A11" s="9" t="s">
        <v>39</v>
      </c>
      <c r="B11" s="9" t="s">
        <v>36</v>
      </c>
      <c r="C11" s="16">
        <v>46180</v>
      </c>
      <c r="D11" s="9" t="s">
        <v>13</v>
      </c>
      <c r="E11" s="9" t="s">
        <v>25</v>
      </c>
      <c r="F11" s="9" t="s">
        <v>15</v>
      </c>
      <c r="G11" s="9" t="str">
        <f>WOMENS2026!$L$13</f>
        <v>東京科学大学</v>
      </c>
      <c r="H11" s="9">
        <f>WOMENS2026!$J$14</f>
        <v>0</v>
      </c>
      <c r="I11" s="9">
        <f>WOMENS2026!$L$14</f>
        <v>0</v>
      </c>
      <c r="J11" s="9" t="s">
        <v>40</v>
      </c>
      <c r="K11" s="9"/>
    </row>
    <row r="12" spans="1:11" x14ac:dyDescent="0.55000000000000004">
      <c r="A12" s="9" t="s">
        <v>41</v>
      </c>
      <c r="B12" s="9" t="s">
        <v>36</v>
      </c>
      <c r="C12" s="16">
        <v>46236</v>
      </c>
      <c r="D12" s="9" t="s">
        <v>29</v>
      </c>
      <c r="E12" s="9" t="s">
        <v>30</v>
      </c>
      <c r="F12" s="9" t="s">
        <v>15</v>
      </c>
      <c r="G12" s="9" t="str">
        <f>WOMENS2026!$F$23</f>
        <v>東京医科大学</v>
      </c>
      <c r="H12" s="9">
        <f>WOMENS2026!$D$24</f>
        <v>2</v>
      </c>
      <c r="I12" s="9">
        <f>WOMENS2026!$F$24</f>
        <v>1</v>
      </c>
      <c r="J12" s="9" t="str">
        <f t="shared" si="0"/>
        <v>WIN</v>
      </c>
      <c r="K12" s="9"/>
    </row>
    <row r="13" spans="1:11" x14ac:dyDescent="0.55000000000000004">
      <c r="A13" s="9" t="s">
        <v>42</v>
      </c>
      <c r="B13" s="9" t="s">
        <v>36</v>
      </c>
      <c r="C13" s="16">
        <v>46237</v>
      </c>
      <c r="D13" s="9" t="s">
        <v>29</v>
      </c>
      <c r="E13" s="9" t="s">
        <v>33</v>
      </c>
      <c r="F13" s="9" t="s">
        <v>15</v>
      </c>
      <c r="G13" s="9" t="str">
        <f>WOMENS2026!$L$23</f>
        <v>東京慈恵会医科大学</v>
      </c>
      <c r="H13" s="9">
        <f>WOMENS2026!$J$24</f>
        <v>2</v>
      </c>
      <c r="I13" s="9">
        <f>WOMENS2026!$L$24</f>
        <v>1</v>
      </c>
      <c r="J13" s="9" t="str">
        <f t="shared" si="0"/>
        <v>WIN</v>
      </c>
      <c r="K13" s="9"/>
    </row>
    <row r="14" spans="1:11" x14ac:dyDescent="0.55000000000000004">
      <c r="A14" s="9" t="s">
        <v>43</v>
      </c>
      <c r="B14" s="9" t="s">
        <v>36</v>
      </c>
      <c r="C14" s="16">
        <v>46238</v>
      </c>
      <c r="D14" s="9" t="s">
        <v>29</v>
      </c>
      <c r="E14" s="9" t="s">
        <v>44</v>
      </c>
      <c r="F14" s="9" t="s">
        <v>15</v>
      </c>
      <c r="G14" s="9" t="str">
        <f>WOMENS2026!$F$31</f>
        <v>福島県立医科大学</v>
      </c>
      <c r="H14" s="9">
        <f>WOMENS2026!$D$32</f>
        <v>0</v>
      </c>
      <c r="I14" s="9">
        <f>WOMENS2026!$F$32</f>
        <v>3</v>
      </c>
      <c r="J14" s="9" t="str">
        <f t="shared" si="0"/>
        <v>LOSS</v>
      </c>
      <c r="K14" s="9"/>
    </row>
    <row r="15" spans="1:11" x14ac:dyDescent="0.55000000000000004">
      <c r="A15" s="9" t="s">
        <v>45</v>
      </c>
      <c r="B15" s="9" t="s">
        <v>46</v>
      </c>
      <c r="C15" s="16">
        <v>46249</v>
      </c>
      <c r="D15" s="9" t="s">
        <v>13</v>
      </c>
      <c r="E15" s="9" t="s">
        <v>14</v>
      </c>
      <c r="F15" s="9" t="s">
        <v>15</v>
      </c>
      <c r="G15" s="9" t="str">
        <f>NURSING2026!$F$3</f>
        <v>山梨大学</v>
      </c>
      <c r="H15" s="9">
        <f>NURSING2026!$D$4</f>
        <v>4</v>
      </c>
      <c r="I15" s="9">
        <f>NURSING2026!$F$4</f>
        <v>1</v>
      </c>
      <c r="J15" s="9" t="str">
        <f t="shared" si="0"/>
        <v>WIN</v>
      </c>
      <c r="K15" s="9"/>
    </row>
    <row r="16" spans="1:11" x14ac:dyDescent="0.55000000000000004">
      <c r="A16" s="9" t="s">
        <v>47</v>
      </c>
      <c r="B16" s="9" t="s">
        <v>46</v>
      </c>
      <c r="C16" s="16">
        <v>46250</v>
      </c>
      <c r="D16" s="9" t="s">
        <v>13</v>
      </c>
      <c r="E16" s="9" t="s">
        <v>18</v>
      </c>
      <c r="F16" s="9" t="s">
        <v>15</v>
      </c>
      <c r="G16" s="9" t="str">
        <f>NURSING2026!$L$3</f>
        <v>東京科学大学</v>
      </c>
      <c r="H16" s="9">
        <f>NURSING2026!$J$4</f>
        <v>3</v>
      </c>
      <c r="I16" s="9">
        <f>NURSING2026!$L$4</f>
        <v>1</v>
      </c>
      <c r="J16" s="9" t="str">
        <f t="shared" si="0"/>
        <v>WIN</v>
      </c>
      <c r="K16" s="9"/>
    </row>
    <row r="17" spans="1:11" x14ac:dyDescent="0.55000000000000004">
      <c r="A17" s="9" t="s">
        <v>48</v>
      </c>
      <c r="B17" s="9" t="s">
        <v>46</v>
      </c>
      <c r="C17" s="16">
        <v>46251</v>
      </c>
      <c r="D17" s="9" t="s">
        <v>13</v>
      </c>
      <c r="E17" s="9" t="s">
        <v>49</v>
      </c>
      <c r="F17" s="9" t="s">
        <v>15</v>
      </c>
      <c r="G17" s="9" t="str">
        <f>NURSING2026!$F$13</f>
        <v>山梨大学</v>
      </c>
      <c r="H17" s="9">
        <f>NURSING2026!$D$14</f>
        <v>3</v>
      </c>
      <c r="I17" s="9">
        <f>NURSING2026!$F$14</f>
        <v>0</v>
      </c>
      <c r="J17" s="9" t="str">
        <f>IF(H17&gt;I17,"WIN",IF(H17&lt;I17,"LOSS",""))</f>
        <v>WIN</v>
      </c>
      <c r="K17" s="9"/>
    </row>
    <row r="18" spans="1:11" x14ac:dyDescent="0.55000000000000004">
      <c r="A18" s="9" t="s">
        <v>50</v>
      </c>
      <c r="B18" s="9" t="s">
        <v>46</v>
      </c>
      <c r="C18" s="16">
        <v>46252</v>
      </c>
      <c r="D18" s="9" t="s">
        <v>13</v>
      </c>
      <c r="E18" s="9" t="s">
        <v>51</v>
      </c>
      <c r="F18" s="9" t="s">
        <v>15</v>
      </c>
      <c r="G18" s="9" t="str">
        <f>NURSING2026!$L$13</f>
        <v>千葉大学</v>
      </c>
      <c r="H18" s="9">
        <f>NURSING2026!$J$14</f>
        <v>0</v>
      </c>
      <c r="I18" s="9">
        <f>NURSING2026!$L$14</f>
        <v>4</v>
      </c>
      <c r="J18" s="9" t="str">
        <f>IF(H18&gt;I18,"WIN",IF(H18&lt;I18,"LOSS",""))</f>
        <v>LOSS</v>
      </c>
      <c r="K18" s="9"/>
    </row>
    <row r="19" spans="1:11" x14ac:dyDescent="0.55000000000000004">
      <c r="A19" s="9" t="s">
        <v>52</v>
      </c>
      <c r="B19" s="9" t="s">
        <v>53</v>
      </c>
      <c r="C19" s="16">
        <v>46141</v>
      </c>
      <c r="D19" s="9" t="s">
        <v>53</v>
      </c>
      <c r="E19" s="17" t="s">
        <v>436</v>
      </c>
      <c r="F19" s="9" t="s">
        <v>414</v>
      </c>
      <c r="G19" s="9" t="s">
        <v>413</v>
      </c>
      <c r="H19" s="9">
        <v>0</v>
      </c>
      <c r="I19" s="9">
        <v>4</v>
      </c>
      <c r="J19" s="9"/>
      <c r="K19" t="s">
        <v>54</v>
      </c>
    </row>
    <row r="20" spans="1:11" x14ac:dyDescent="0.55000000000000004">
      <c r="A20" s="9" t="s">
        <v>55</v>
      </c>
      <c r="B20" s="9" t="s">
        <v>53</v>
      </c>
      <c r="C20" s="16">
        <v>46141</v>
      </c>
      <c r="D20" s="9" t="s">
        <v>53</v>
      </c>
      <c r="E20" s="17" t="s">
        <v>437</v>
      </c>
      <c r="F20" s="9" t="s">
        <v>415</v>
      </c>
      <c r="G20" s="9" t="s">
        <v>416</v>
      </c>
      <c r="H20">
        <v>2</v>
      </c>
      <c r="I20">
        <v>3</v>
      </c>
      <c r="J20" s="9"/>
      <c r="K20" s="9" t="s">
        <v>57</v>
      </c>
    </row>
    <row r="21" spans="1:11" x14ac:dyDescent="0.55000000000000004">
      <c r="A21" s="9" t="s">
        <v>58</v>
      </c>
      <c r="B21" s="9" t="s">
        <v>53</v>
      </c>
      <c r="C21" s="16">
        <v>46141</v>
      </c>
      <c r="D21" s="9" t="s">
        <v>53</v>
      </c>
      <c r="E21" s="17" t="s">
        <v>438</v>
      </c>
      <c r="F21" s="9" t="s">
        <v>418</v>
      </c>
      <c r="G21" s="9" t="s">
        <v>412</v>
      </c>
      <c r="H21" s="9">
        <v>2</v>
      </c>
      <c r="I21" s="9">
        <v>4</v>
      </c>
      <c r="K21" s="22" t="s">
        <v>59</v>
      </c>
    </row>
    <row r="22" spans="1:11" x14ac:dyDescent="0.55000000000000004">
      <c r="A22" s="9" t="s">
        <v>60</v>
      </c>
      <c r="B22" s="9" t="s">
        <v>53</v>
      </c>
      <c r="C22" s="16">
        <v>46141</v>
      </c>
      <c r="D22" s="9" t="s">
        <v>53</v>
      </c>
      <c r="E22" s="17" t="s">
        <v>439</v>
      </c>
      <c r="F22" s="9" t="s">
        <v>419</v>
      </c>
      <c r="G22" s="9" t="s">
        <v>417</v>
      </c>
      <c r="H22">
        <v>2</v>
      </c>
      <c r="I22">
        <v>2</v>
      </c>
      <c r="K22" s="22" t="s">
        <v>62</v>
      </c>
    </row>
    <row r="23" spans="1:11" x14ac:dyDescent="0.55000000000000004">
      <c r="A23" s="9" t="s">
        <v>63</v>
      </c>
      <c r="B23" s="9" t="s">
        <v>53</v>
      </c>
      <c r="C23" s="16">
        <v>46141</v>
      </c>
      <c r="D23" s="9" t="s">
        <v>53</v>
      </c>
      <c r="E23" s="17" t="s">
        <v>440</v>
      </c>
      <c r="F23" s="9" t="s">
        <v>139</v>
      </c>
      <c r="G23" s="9" t="s">
        <v>140</v>
      </c>
      <c r="H23">
        <v>3</v>
      </c>
      <c r="I23">
        <v>2</v>
      </c>
      <c r="K23" s="22" t="s">
        <v>64</v>
      </c>
    </row>
    <row r="24" spans="1:11" x14ac:dyDescent="0.55000000000000004">
      <c r="A24" s="9" t="s">
        <v>65</v>
      </c>
      <c r="B24" s="9" t="s">
        <v>53</v>
      </c>
      <c r="C24" s="16">
        <v>46141</v>
      </c>
      <c r="D24" s="9" t="s">
        <v>53</v>
      </c>
      <c r="E24" s="17" t="s">
        <v>441</v>
      </c>
      <c r="F24" s="9" t="s">
        <v>145</v>
      </c>
      <c r="G24" s="9" t="s">
        <v>420</v>
      </c>
      <c r="H24">
        <v>2</v>
      </c>
      <c r="I24">
        <v>1</v>
      </c>
      <c r="K24" t="s">
        <v>66</v>
      </c>
    </row>
    <row r="25" spans="1:11" x14ac:dyDescent="0.55000000000000004">
      <c r="A25" s="9" t="s">
        <v>67</v>
      </c>
      <c r="B25" s="9" t="s">
        <v>53</v>
      </c>
      <c r="C25" s="16">
        <v>46141</v>
      </c>
      <c r="D25" s="9" t="s">
        <v>53</v>
      </c>
      <c r="E25" s="17" t="s">
        <v>442</v>
      </c>
      <c r="F25" s="9" t="s">
        <v>151</v>
      </c>
      <c r="G25" s="9" t="s">
        <v>152</v>
      </c>
      <c r="H25">
        <v>0</v>
      </c>
      <c r="I25">
        <v>4</v>
      </c>
      <c r="K25" t="s">
        <v>68</v>
      </c>
    </row>
    <row r="26" spans="1:11" x14ac:dyDescent="0.55000000000000004">
      <c r="A26" s="9" t="s">
        <v>69</v>
      </c>
      <c r="B26" s="9" t="s">
        <v>53</v>
      </c>
      <c r="C26" s="16">
        <v>46141</v>
      </c>
      <c r="D26" s="9" t="s">
        <v>53</v>
      </c>
      <c r="E26" s="17" t="s">
        <v>436</v>
      </c>
      <c r="F26" s="9" t="s">
        <v>421</v>
      </c>
      <c r="G26" s="9" t="s">
        <v>422</v>
      </c>
      <c r="H26">
        <v>0</v>
      </c>
      <c r="I26">
        <v>4</v>
      </c>
      <c r="K26" t="s">
        <v>71</v>
      </c>
    </row>
    <row r="27" spans="1:11" x14ac:dyDescent="0.55000000000000004">
      <c r="A27" s="9" t="s">
        <v>72</v>
      </c>
      <c r="B27" s="9" t="s">
        <v>53</v>
      </c>
      <c r="C27" s="16">
        <v>46141</v>
      </c>
      <c r="D27" s="9" t="s">
        <v>53</v>
      </c>
      <c r="E27" s="17" t="s">
        <v>437</v>
      </c>
      <c r="F27" s="9" t="s">
        <v>423</v>
      </c>
      <c r="G27" s="9" t="s">
        <v>116</v>
      </c>
      <c r="H27">
        <v>4</v>
      </c>
      <c r="I27">
        <v>1</v>
      </c>
      <c r="K27" t="s">
        <v>74</v>
      </c>
    </row>
    <row r="28" spans="1:11" x14ac:dyDescent="0.55000000000000004">
      <c r="A28" s="9" t="s">
        <v>75</v>
      </c>
      <c r="B28" s="9" t="s">
        <v>53</v>
      </c>
      <c r="C28" s="16">
        <v>46141</v>
      </c>
      <c r="D28" s="9" t="s">
        <v>53</v>
      </c>
      <c r="E28" s="17" t="s">
        <v>438</v>
      </c>
      <c r="F28" s="9" t="s">
        <v>424</v>
      </c>
      <c r="G28" s="9" t="s">
        <v>123</v>
      </c>
      <c r="H28">
        <v>1</v>
      </c>
      <c r="I28">
        <v>4</v>
      </c>
      <c r="K28" t="s">
        <v>77</v>
      </c>
    </row>
    <row r="29" spans="1:11" x14ac:dyDescent="0.55000000000000004">
      <c r="A29" s="9" t="s">
        <v>78</v>
      </c>
      <c r="B29" s="9" t="s">
        <v>53</v>
      </c>
      <c r="C29" s="16">
        <v>46141</v>
      </c>
      <c r="D29" s="9" t="s">
        <v>53</v>
      </c>
      <c r="E29" s="17" t="s">
        <v>439</v>
      </c>
      <c r="F29" s="9" t="s">
        <v>425</v>
      </c>
      <c r="G29" s="9" t="s">
        <v>426</v>
      </c>
      <c r="H29">
        <v>3</v>
      </c>
      <c r="I29">
        <v>3</v>
      </c>
      <c r="K29" t="s">
        <v>80</v>
      </c>
    </row>
    <row r="30" spans="1:11" x14ac:dyDescent="0.55000000000000004">
      <c r="A30" s="9" t="s">
        <v>81</v>
      </c>
      <c r="B30" s="9" t="s">
        <v>53</v>
      </c>
      <c r="C30" s="16">
        <v>46141</v>
      </c>
      <c r="D30" s="9" t="s">
        <v>53</v>
      </c>
      <c r="E30" s="17" t="s">
        <v>440</v>
      </c>
      <c r="F30" s="9" t="s">
        <v>137</v>
      </c>
      <c r="G30" s="9" t="s">
        <v>427</v>
      </c>
      <c r="H30">
        <v>2</v>
      </c>
      <c r="I30">
        <v>1</v>
      </c>
      <c r="K30" t="s">
        <v>82</v>
      </c>
    </row>
    <row r="31" spans="1:11" x14ac:dyDescent="0.55000000000000004">
      <c r="A31" s="9" t="s">
        <v>83</v>
      </c>
      <c r="B31" s="9" t="s">
        <v>53</v>
      </c>
      <c r="C31" s="16">
        <v>46141</v>
      </c>
      <c r="D31" s="9" t="s">
        <v>53</v>
      </c>
      <c r="E31" s="17" t="s">
        <v>441</v>
      </c>
      <c r="F31" s="17" t="s">
        <v>428</v>
      </c>
      <c r="G31" s="9" t="s">
        <v>412</v>
      </c>
      <c r="H31" s="9">
        <v>2</v>
      </c>
      <c r="I31" s="9">
        <v>4</v>
      </c>
      <c r="J31" s="9"/>
      <c r="K31" s="9" t="s">
        <v>84</v>
      </c>
    </row>
    <row r="32" spans="1:11" x14ac:dyDescent="0.55000000000000004">
      <c r="A32" s="9" t="s">
        <v>85</v>
      </c>
      <c r="B32" s="9" t="s">
        <v>53</v>
      </c>
      <c r="C32" s="16">
        <v>46141</v>
      </c>
      <c r="D32" s="9" t="s">
        <v>53</v>
      </c>
      <c r="E32" s="17" t="s">
        <v>442</v>
      </c>
      <c r="F32" s="9" t="s">
        <v>418</v>
      </c>
      <c r="G32" s="9" t="s">
        <v>150</v>
      </c>
      <c r="H32">
        <v>4</v>
      </c>
      <c r="I32">
        <v>1</v>
      </c>
      <c r="K32" t="s">
        <v>86</v>
      </c>
    </row>
    <row r="33" spans="1:11" x14ac:dyDescent="0.55000000000000004">
      <c r="A33" s="9" t="s">
        <v>87</v>
      </c>
      <c r="B33" s="9" t="s">
        <v>53</v>
      </c>
      <c r="C33" s="16">
        <v>46141</v>
      </c>
      <c r="D33" s="9" t="s">
        <v>53</v>
      </c>
      <c r="E33" s="17" t="s">
        <v>436</v>
      </c>
      <c r="F33" s="9" t="s">
        <v>104</v>
      </c>
      <c r="G33" s="9" t="s">
        <v>105</v>
      </c>
      <c r="K33" t="s">
        <v>88</v>
      </c>
    </row>
    <row r="34" spans="1:11" x14ac:dyDescent="0.55000000000000004">
      <c r="A34" s="9" t="s">
        <v>89</v>
      </c>
      <c r="B34" s="9" t="s">
        <v>53</v>
      </c>
      <c r="C34" s="16">
        <v>46141</v>
      </c>
      <c r="D34" s="9" t="s">
        <v>53</v>
      </c>
      <c r="E34" s="17" t="s">
        <v>437</v>
      </c>
      <c r="F34" s="9" t="s">
        <v>429</v>
      </c>
      <c r="G34" s="9" t="s">
        <v>430</v>
      </c>
      <c r="H34">
        <v>2</v>
      </c>
      <c r="I34">
        <v>2</v>
      </c>
      <c r="K34" t="s">
        <v>91</v>
      </c>
    </row>
    <row r="35" spans="1:11" x14ac:dyDescent="0.55000000000000004">
      <c r="A35" s="9" t="s">
        <v>92</v>
      </c>
      <c r="B35" s="9" t="s">
        <v>53</v>
      </c>
      <c r="C35" s="16">
        <v>46141</v>
      </c>
      <c r="D35" s="9" t="s">
        <v>53</v>
      </c>
      <c r="E35" s="17" t="s">
        <v>438</v>
      </c>
      <c r="F35" s="9" t="s">
        <v>423</v>
      </c>
      <c r="G35" s="9" t="s">
        <v>120</v>
      </c>
      <c r="H35">
        <v>1</v>
      </c>
      <c r="I35">
        <v>2</v>
      </c>
    </row>
    <row r="36" spans="1:11" x14ac:dyDescent="0.55000000000000004">
      <c r="A36" s="9" t="s">
        <v>94</v>
      </c>
      <c r="B36" s="9" t="s">
        <v>53</v>
      </c>
      <c r="C36" s="16">
        <v>46141</v>
      </c>
      <c r="D36" s="9" t="s">
        <v>53</v>
      </c>
      <c r="E36" s="17" t="s">
        <v>439</v>
      </c>
      <c r="F36" s="9" t="s">
        <v>127</v>
      </c>
      <c r="G36" s="9" t="s">
        <v>431</v>
      </c>
      <c r="H36">
        <v>3</v>
      </c>
      <c r="I36">
        <v>0</v>
      </c>
    </row>
    <row r="37" spans="1:11" x14ac:dyDescent="0.55000000000000004">
      <c r="A37" s="9" t="s">
        <v>95</v>
      </c>
      <c r="B37" s="9" t="s">
        <v>53</v>
      </c>
      <c r="C37" s="16">
        <v>46141</v>
      </c>
      <c r="D37" s="9" t="s">
        <v>53</v>
      </c>
      <c r="E37" s="17" t="s">
        <v>440</v>
      </c>
      <c r="F37" s="9" t="s">
        <v>432</v>
      </c>
      <c r="G37" s="9" t="s">
        <v>136</v>
      </c>
    </row>
    <row r="38" spans="1:11" x14ac:dyDescent="0.55000000000000004">
      <c r="A38" s="9" t="s">
        <v>96</v>
      </c>
      <c r="B38" s="9" t="s">
        <v>53</v>
      </c>
      <c r="C38" s="16">
        <v>46141</v>
      </c>
      <c r="D38" s="9" t="s">
        <v>53</v>
      </c>
      <c r="E38" s="17" t="s">
        <v>441</v>
      </c>
      <c r="F38" s="9" t="s">
        <v>433</v>
      </c>
      <c r="G38" s="9" t="s">
        <v>434</v>
      </c>
      <c r="I38" s="9"/>
    </row>
    <row r="39" spans="1:11" x14ac:dyDescent="0.55000000000000004">
      <c r="A39" s="9" t="s">
        <v>97</v>
      </c>
      <c r="B39" s="9" t="s">
        <v>53</v>
      </c>
      <c r="C39" s="16">
        <v>46141</v>
      </c>
      <c r="D39" s="9" t="s">
        <v>53</v>
      </c>
      <c r="E39" s="17" t="s">
        <v>442</v>
      </c>
      <c r="F39" s="9" t="s">
        <v>435</v>
      </c>
      <c r="G39" s="9" t="s">
        <v>149</v>
      </c>
    </row>
    <row r="40" spans="1:11" x14ac:dyDescent="0.55000000000000004">
      <c r="K40" s="9"/>
    </row>
  </sheetData>
  <phoneticPr fontId="10"/>
  <dataValidations count="2">
    <dataValidation type="list" allowBlank="1" showInputMessage="1" showErrorMessage="1" sqref="B2:B1048576" xr:uid="{00000000-0002-0000-0000-000000000000}">
      <formula1>"MEN, WOMEN, NURSING, OBOG"</formula1>
    </dataValidation>
    <dataValidation type="list" allowBlank="1" showInputMessage="1" showErrorMessage="1" sqref="D2:D1048576" xr:uid="{00000000-0002-0000-0000-000001000000}">
      <formula1>"League, Toitai, Practice, Individual, OBOG"</formula1>
    </dataValidation>
  </dataValidations>
  <hyperlinks>
    <hyperlink ref="K21" r:id="rId1" xr:uid="{00000000-0004-0000-0000-000000000000}"/>
    <hyperlink ref="K22" r:id="rId2" xr:uid="{00000000-0004-0000-0000-000001000000}"/>
    <hyperlink ref="K23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="76" workbookViewId="0">
      <selection activeCell="G9" sqref="G9"/>
    </sheetView>
  </sheetViews>
  <sheetFormatPr defaultRowHeight="13" x14ac:dyDescent="0.55000000000000004"/>
  <cols>
    <col min="1" max="1" width="8.6640625" style="9"/>
    <col min="2" max="2" width="13.6640625" style="9" customWidth="1"/>
    <col min="3" max="3" width="21.25" style="9" customWidth="1"/>
    <col min="4" max="4" width="8.6640625" style="9"/>
    <col min="5" max="5" width="18.33203125" style="9" customWidth="1"/>
    <col min="6" max="6" width="14.25" style="9" customWidth="1"/>
    <col min="7" max="7" width="19.25" style="9" customWidth="1"/>
    <col min="8" max="8" width="8.6640625" style="9"/>
    <col min="9" max="9" width="20.25" style="9" customWidth="1"/>
    <col min="10" max="10" width="14.25" style="9" customWidth="1"/>
    <col min="11" max="11" width="19.25" style="9" customWidth="1"/>
    <col min="12" max="12" width="8.6640625" style="9"/>
    <col min="13" max="13" width="20.25" style="9" customWidth="1"/>
    <col min="14" max="16384" width="8.6640625" style="9"/>
  </cols>
  <sheetData>
    <row r="1" spans="1:13" x14ac:dyDescent="0.55000000000000004">
      <c r="B1" s="9" t="s">
        <v>98</v>
      </c>
      <c r="F1" s="9" t="s">
        <v>98</v>
      </c>
      <c r="J1" s="9" t="s">
        <v>98</v>
      </c>
    </row>
    <row r="2" spans="1:13" x14ac:dyDescent="0.55000000000000004">
      <c r="C2" s="23" t="s">
        <v>99</v>
      </c>
      <c r="D2" s="24"/>
      <c r="E2" s="25"/>
      <c r="G2" s="23" t="s">
        <v>100</v>
      </c>
      <c r="H2" s="24"/>
      <c r="I2" s="25"/>
      <c r="K2" s="23" t="s">
        <v>101</v>
      </c>
      <c r="L2" s="24"/>
      <c r="M2" s="25"/>
    </row>
    <row r="3" spans="1:13" x14ac:dyDescent="0.55000000000000004">
      <c r="C3" s="10" t="s">
        <v>102</v>
      </c>
      <c r="E3" s="11" t="s">
        <v>6</v>
      </c>
      <c r="G3" s="10" t="s">
        <v>102</v>
      </c>
      <c r="I3" s="11" t="s">
        <v>6</v>
      </c>
      <c r="K3" s="10" t="s">
        <v>102</v>
      </c>
      <c r="M3" s="11" t="s">
        <v>6</v>
      </c>
    </row>
    <row r="4" spans="1:13" x14ac:dyDescent="0.55000000000000004">
      <c r="A4" s="9" t="s">
        <v>103</v>
      </c>
      <c r="B4" s="9" t="s">
        <v>87</v>
      </c>
      <c r="C4" s="9" t="s">
        <v>104</v>
      </c>
      <c r="D4" s="20"/>
      <c r="E4" s="9" t="s">
        <v>105</v>
      </c>
      <c r="F4" s="9" t="s">
        <v>69</v>
      </c>
      <c r="G4" s="9" t="s">
        <v>106</v>
      </c>
      <c r="H4" s="20" t="s">
        <v>107</v>
      </c>
      <c r="I4" s="9" t="s">
        <v>108</v>
      </c>
      <c r="J4" s="9" t="s">
        <v>52</v>
      </c>
      <c r="K4" s="9" t="s">
        <v>109</v>
      </c>
      <c r="L4" s="20" t="s">
        <v>107</v>
      </c>
      <c r="M4" s="9" t="s">
        <v>110</v>
      </c>
    </row>
    <row r="5" spans="1:13" x14ac:dyDescent="0.55000000000000004">
      <c r="A5" s="9" t="s">
        <v>111</v>
      </c>
      <c r="B5" s="9" t="s">
        <v>89</v>
      </c>
      <c r="C5" s="10" t="s">
        <v>112</v>
      </c>
      <c r="D5" s="19" t="s">
        <v>73</v>
      </c>
      <c r="E5" s="11" t="s">
        <v>113</v>
      </c>
      <c r="F5" s="9" t="s">
        <v>72</v>
      </c>
      <c r="G5" s="10" t="s">
        <v>114</v>
      </c>
      <c r="H5" s="19" t="s">
        <v>115</v>
      </c>
      <c r="I5" s="11" t="s">
        <v>116</v>
      </c>
      <c r="J5" s="9" t="s">
        <v>55</v>
      </c>
      <c r="K5" s="10" t="s">
        <v>117</v>
      </c>
      <c r="L5" s="19" t="s">
        <v>76</v>
      </c>
      <c r="M5" s="11" t="s">
        <v>118</v>
      </c>
    </row>
    <row r="6" spans="1:13" x14ac:dyDescent="0.55000000000000004">
      <c r="A6" s="9" t="s">
        <v>119</v>
      </c>
      <c r="B6" s="9" t="s">
        <v>92</v>
      </c>
      <c r="C6" s="10" t="s">
        <v>120</v>
      </c>
      <c r="D6" s="19" t="s">
        <v>56</v>
      </c>
      <c r="E6" s="11" t="s">
        <v>121</v>
      </c>
      <c r="F6" s="9" t="s">
        <v>75</v>
      </c>
      <c r="G6" s="10" t="s">
        <v>122</v>
      </c>
      <c r="H6" s="21" t="s">
        <v>61</v>
      </c>
      <c r="I6" s="11" t="s">
        <v>123</v>
      </c>
      <c r="J6" s="9" t="s">
        <v>58</v>
      </c>
      <c r="K6" s="10" t="s">
        <v>124</v>
      </c>
      <c r="L6" s="19" t="s">
        <v>79</v>
      </c>
      <c r="M6" s="11" t="s">
        <v>125</v>
      </c>
    </row>
    <row r="7" spans="1:13" x14ac:dyDescent="0.55000000000000004">
      <c r="A7" s="9" t="s">
        <v>126</v>
      </c>
      <c r="B7" s="9" t="s">
        <v>94</v>
      </c>
      <c r="C7" s="10" t="s">
        <v>127</v>
      </c>
      <c r="D7" s="19" t="s">
        <v>128</v>
      </c>
      <c r="E7" s="11" t="s">
        <v>129</v>
      </c>
      <c r="F7" s="9" t="s">
        <v>78</v>
      </c>
      <c r="G7" s="10" t="s">
        <v>130</v>
      </c>
      <c r="H7" s="19" t="s">
        <v>93</v>
      </c>
      <c r="I7" s="11" t="s">
        <v>131</v>
      </c>
      <c r="J7" s="9" t="s">
        <v>60</v>
      </c>
      <c r="K7" s="10" t="s">
        <v>132</v>
      </c>
      <c r="L7" s="19" t="s">
        <v>73</v>
      </c>
      <c r="M7" s="11" t="s">
        <v>133</v>
      </c>
    </row>
    <row r="8" spans="1:13" x14ac:dyDescent="0.55000000000000004">
      <c r="A8" s="9" t="s">
        <v>134</v>
      </c>
      <c r="B8" s="9" t="s">
        <v>95</v>
      </c>
      <c r="C8" s="10" t="s">
        <v>135</v>
      </c>
      <c r="D8" s="19"/>
      <c r="E8" s="11" t="s">
        <v>136</v>
      </c>
      <c r="F8" s="9" t="s">
        <v>81</v>
      </c>
      <c r="G8" s="10" t="s">
        <v>137</v>
      </c>
      <c r="H8" s="19" t="s">
        <v>70</v>
      </c>
      <c r="I8" s="11" t="s">
        <v>138</v>
      </c>
      <c r="J8" s="9" t="s">
        <v>63</v>
      </c>
      <c r="K8" s="10" t="s">
        <v>139</v>
      </c>
      <c r="L8" s="19" t="s">
        <v>90</v>
      </c>
      <c r="M8" s="11" t="s">
        <v>140</v>
      </c>
    </row>
    <row r="9" spans="1:13" x14ac:dyDescent="0.55000000000000004">
      <c r="A9" s="9" t="s">
        <v>141</v>
      </c>
      <c r="B9" s="9" t="s">
        <v>96</v>
      </c>
      <c r="C9" s="10" t="s">
        <v>142</v>
      </c>
      <c r="D9" s="19"/>
      <c r="E9" s="11" t="s">
        <v>143</v>
      </c>
      <c r="F9" s="9" t="s">
        <v>83</v>
      </c>
      <c r="G9" s="10" t="s">
        <v>144</v>
      </c>
      <c r="H9" s="19" t="s">
        <v>79</v>
      </c>
      <c r="I9" s="11" t="s">
        <v>125</v>
      </c>
      <c r="J9" s="9" t="s">
        <v>65</v>
      </c>
      <c r="K9" s="10" t="s">
        <v>145</v>
      </c>
      <c r="L9" s="19" t="s">
        <v>70</v>
      </c>
      <c r="M9" s="11" t="s">
        <v>146</v>
      </c>
    </row>
    <row r="10" spans="1:13" x14ac:dyDescent="0.55000000000000004">
      <c r="A10" s="9" t="s">
        <v>147</v>
      </c>
      <c r="B10" s="9" t="s">
        <v>97</v>
      </c>
      <c r="C10" s="12" t="s">
        <v>148</v>
      </c>
      <c r="D10" s="18"/>
      <c r="E10" s="13" t="s">
        <v>149</v>
      </c>
      <c r="F10" s="9" t="s">
        <v>85</v>
      </c>
      <c r="G10" s="13" t="s">
        <v>124</v>
      </c>
      <c r="H10" s="18" t="s">
        <v>115</v>
      </c>
      <c r="I10" s="12" t="s">
        <v>150</v>
      </c>
      <c r="J10" s="9" t="s">
        <v>67</v>
      </c>
      <c r="K10" s="12" t="s">
        <v>151</v>
      </c>
      <c r="L10" s="18" t="s">
        <v>107</v>
      </c>
      <c r="M10" s="13" t="s">
        <v>152</v>
      </c>
    </row>
  </sheetData>
  <mergeCells count="3">
    <mergeCell ref="C2:E2"/>
    <mergeCell ref="G2:I2"/>
    <mergeCell ref="K2:M2"/>
  </mergeCells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38"/>
  <sheetViews>
    <sheetView workbookViewId="0"/>
  </sheetViews>
  <sheetFormatPr defaultRowHeight="18" x14ac:dyDescent="0.55000000000000004"/>
  <cols>
    <col min="2" max="3" width="4.08203125" customWidth="1"/>
    <col min="4" max="4" width="17.58203125" customWidth="1"/>
    <col min="5" max="5" width="15.58203125" customWidth="1"/>
    <col min="6" max="6" width="17.58203125" customWidth="1"/>
    <col min="8" max="9" width="4.08203125" customWidth="1"/>
    <col min="10" max="10" width="17.58203125" customWidth="1"/>
    <col min="11" max="11" width="15.58203125" customWidth="1"/>
    <col min="12" max="12" width="17.58203125" customWidth="1"/>
  </cols>
  <sheetData>
    <row r="2" spans="2:12" ht="22.5" x14ac:dyDescent="0.55000000000000004">
      <c r="B2" s="29" t="s">
        <v>153</v>
      </c>
      <c r="C2" s="29"/>
      <c r="D2" s="29"/>
      <c r="E2" s="29"/>
      <c r="F2" s="29"/>
      <c r="H2" s="29" t="s">
        <v>154</v>
      </c>
      <c r="I2" s="29"/>
      <c r="J2" s="29"/>
      <c r="K2" s="29"/>
      <c r="L2" s="29"/>
    </row>
    <row r="3" spans="2:12" x14ac:dyDescent="0.55000000000000004">
      <c r="B3" t="s">
        <v>11</v>
      </c>
      <c r="C3" s="4"/>
      <c r="D3" s="5" t="s">
        <v>15</v>
      </c>
      <c r="E3" s="5" t="s">
        <v>155</v>
      </c>
      <c r="F3" s="5" t="s">
        <v>156</v>
      </c>
      <c r="H3" t="s">
        <v>17</v>
      </c>
      <c r="I3" s="6"/>
      <c r="J3" s="5" t="s">
        <v>15</v>
      </c>
      <c r="K3" s="5" t="s">
        <v>155</v>
      </c>
      <c r="L3" s="5" t="s">
        <v>157</v>
      </c>
    </row>
    <row r="4" spans="2:12" ht="12.4" customHeight="1" x14ac:dyDescent="0.55000000000000004">
      <c r="B4" s="31"/>
      <c r="C4" s="31"/>
      <c r="D4" s="26">
        <v>3</v>
      </c>
      <c r="E4" s="5" t="s">
        <v>158</v>
      </c>
      <c r="F4" s="28">
        <v>6</v>
      </c>
      <c r="H4" s="27"/>
      <c r="I4" s="27"/>
      <c r="J4" s="28">
        <v>6</v>
      </c>
      <c r="K4" s="5" t="s">
        <v>159</v>
      </c>
      <c r="L4" s="26">
        <v>3</v>
      </c>
    </row>
    <row r="5" spans="2:12" ht="12.4" customHeight="1" x14ac:dyDescent="0.55000000000000004">
      <c r="B5" s="31"/>
      <c r="C5" s="31"/>
      <c r="D5" s="26"/>
      <c r="E5" s="5" t="s">
        <v>160</v>
      </c>
      <c r="F5" s="28"/>
      <c r="H5" s="27"/>
      <c r="I5" s="27"/>
      <c r="J5" s="28"/>
      <c r="K5" s="5" t="s">
        <v>161</v>
      </c>
      <c r="L5" s="26"/>
    </row>
    <row r="6" spans="2:12" x14ac:dyDescent="0.55000000000000004">
      <c r="B6" s="5" t="s">
        <v>162</v>
      </c>
      <c r="C6" s="5" t="s">
        <v>163</v>
      </c>
      <c r="D6" s="5" t="s">
        <v>164</v>
      </c>
      <c r="E6" s="5" t="s">
        <v>165</v>
      </c>
      <c r="F6" s="5" t="s">
        <v>166</v>
      </c>
      <c r="H6" s="5" t="s">
        <v>162</v>
      </c>
      <c r="I6" s="5" t="s">
        <v>167</v>
      </c>
      <c r="J6" s="5" t="s">
        <v>168</v>
      </c>
      <c r="K6" s="5" t="s">
        <v>169</v>
      </c>
      <c r="L6" s="5" t="s">
        <v>170</v>
      </c>
    </row>
    <row r="7" spans="2:12" x14ac:dyDescent="0.55000000000000004">
      <c r="B7" s="5" t="s">
        <v>171</v>
      </c>
      <c r="C7" s="5" t="s">
        <v>163</v>
      </c>
      <c r="D7" s="5" t="s">
        <v>172</v>
      </c>
      <c r="E7" s="5" t="s">
        <v>173</v>
      </c>
      <c r="F7" s="5" t="s">
        <v>174</v>
      </c>
      <c r="H7" s="5" t="s">
        <v>171</v>
      </c>
      <c r="I7" s="5" t="s">
        <v>163</v>
      </c>
      <c r="J7" s="5" t="s">
        <v>175</v>
      </c>
      <c r="K7" s="5" t="s">
        <v>176</v>
      </c>
      <c r="L7" s="5" t="s">
        <v>177</v>
      </c>
    </row>
    <row r="8" spans="2:12" x14ac:dyDescent="0.55000000000000004">
      <c r="B8" s="5" t="s">
        <v>178</v>
      </c>
      <c r="C8" s="5" t="s">
        <v>179</v>
      </c>
      <c r="D8" s="5" t="s">
        <v>168</v>
      </c>
      <c r="E8" s="5" t="s">
        <v>180</v>
      </c>
      <c r="F8" s="5" t="s">
        <v>181</v>
      </c>
      <c r="H8" s="5" t="s">
        <v>178</v>
      </c>
      <c r="I8" s="5" t="s">
        <v>179</v>
      </c>
      <c r="J8" s="5" t="s">
        <v>121</v>
      </c>
      <c r="K8" s="5" t="s">
        <v>182</v>
      </c>
      <c r="L8" s="5" t="s">
        <v>183</v>
      </c>
    </row>
    <row r="9" spans="2:12" x14ac:dyDescent="0.55000000000000004">
      <c r="B9" s="5" t="s">
        <v>184</v>
      </c>
      <c r="C9" s="5" t="s">
        <v>179</v>
      </c>
      <c r="D9" s="5" t="s">
        <v>185</v>
      </c>
      <c r="E9" s="5" t="s">
        <v>186</v>
      </c>
      <c r="F9" s="5" t="s">
        <v>187</v>
      </c>
      <c r="H9" s="5" t="s">
        <v>184</v>
      </c>
      <c r="I9" s="5" t="s">
        <v>163</v>
      </c>
      <c r="J9" s="5" t="s">
        <v>188</v>
      </c>
      <c r="K9" s="5" t="s">
        <v>189</v>
      </c>
      <c r="L9" s="5" t="s">
        <v>190</v>
      </c>
    </row>
    <row r="10" spans="2:12" x14ac:dyDescent="0.55000000000000004">
      <c r="B10" s="5" t="s">
        <v>191</v>
      </c>
      <c r="C10" s="5" t="s">
        <v>163</v>
      </c>
      <c r="D10" s="5" t="s">
        <v>192</v>
      </c>
      <c r="E10" s="5" t="s">
        <v>189</v>
      </c>
      <c r="F10" s="5" t="s">
        <v>193</v>
      </c>
      <c r="H10" s="5" t="s">
        <v>191</v>
      </c>
      <c r="I10" s="5" t="s">
        <v>179</v>
      </c>
      <c r="J10" s="5" t="s">
        <v>185</v>
      </c>
      <c r="K10" s="5" t="s">
        <v>194</v>
      </c>
      <c r="L10" s="5" t="s">
        <v>195</v>
      </c>
    </row>
    <row r="11" spans="2:12" x14ac:dyDescent="0.55000000000000004">
      <c r="B11" s="5" t="s">
        <v>196</v>
      </c>
      <c r="C11" s="5" t="s">
        <v>163</v>
      </c>
      <c r="D11" s="5" t="s">
        <v>188</v>
      </c>
      <c r="E11" s="5" t="s">
        <v>197</v>
      </c>
      <c r="F11" s="5" t="s">
        <v>198</v>
      </c>
      <c r="H11" s="5" t="s">
        <v>196</v>
      </c>
      <c r="I11" s="5" t="s">
        <v>163</v>
      </c>
      <c r="J11" s="5" t="s">
        <v>192</v>
      </c>
      <c r="K11" s="5" t="s">
        <v>199</v>
      </c>
      <c r="L11" s="5" t="s">
        <v>200</v>
      </c>
    </row>
    <row r="12" spans="2:12" x14ac:dyDescent="0.55000000000000004">
      <c r="B12" s="5" t="s">
        <v>201</v>
      </c>
      <c r="C12" s="5" t="s">
        <v>163</v>
      </c>
      <c r="D12" s="5" t="s">
        <v>202</v>
      </c>
      <c r="E12" s="5" t="s">
        <v>203</v>
      </c>
      <c r="F12" s="5" t="s">
        <v>204</v>
      </c>
      <c r="H12" s="5" t="s">
        <v>201</v>
      </c>
      <c r="I12" s="5" t="s">
        <v>179</v>
      </c>
      <c r="J12" s="5" t="s">
        <v>202</v>
      </c>
      <c r="K12" s="5" t="s">
        <v>205</v>
      </c>
      <c r="L12" s="5" t="s">
        <v>206</v>
      </c>
    </row>
    <row r="13" spans="2:12" x14ac:dyDescent="0.55000000000000004">
      <c r="B13" s="5" t="s">
        <v>207</v>
      </c>
      <c r="C13" s="5" t="s">
        <v>167</v>
      </c>
      <c r="D13" s="5" t="s">
        <v>208</v>
      </c>
      <c r="E13" s="5" t="s">
        <v>209</v>
      </c>
      <c r="F13" s="5" t="s">
        <v>210</v>
      </c>
      <c r="H13" s="5" t="s">
        <v>207</v>
      </c>
      <c r="I13" s="5" t="s">
        <v>167</v>
      </c>
      <c r="J13" s="5" t="s">
        <v>211</v>
      </c>
      <c r="K13" s="5" t="s">
        <v>182</v>
      </c>
      <c r="L13" s="5" t="s">
        <v>212</v>
      </c>
    </row>
    <row r="14" spans="2:12" x14ac:dyDescent="0.55000000000000004">
      <c r="B14" s="5" t="s">
        <v>213</v>
      </c>
      <c r="C14" s="5" t="s">
        <v>163</v>
      </c>
      <c r="D14" s="5" t="s">
        <v>211</v>
      </c>
      <c r="E14" s="5" t="s">
        <v>214</v>
      </c>
      <c r="F14" s="5" t="s">
        <v>215</v>
      </c>
      <c r="H14" s="5" t="s">
        <v>213</v>
      </c>
      <c r="I14" s="5" t="s">
        <v>167</v>
      </c>
      <c r="J14" s="5" t="s">
        <v>208</v>
      </c>
      <c r="K14" s="5" t="s">
        <v>216</v>
      </c>
      <c r="L14" s="5" t="s">
        <v>217</v>
      </c>
    </row>
    <row r="16" spans="2:12" ht="22.5" x14ac:dyDescent="0.55000000000000004">
      <c r="B16" s="29" t="s">
        <v>218</v>
      </c>
      <c r="C16" s="29"/>
      <c r="D16" s="29"/>
      <c r="E16" s="29"/>
      <c r="F16" s="29"/>
      <c r="H16" s="29" t="s">
        <v>219</v>
      </c>
      <c r="I16" s="29"/>
      <c r="J16" s="29"/>
      <c r="K16" s="29"/>
      <c r="L16" s="29"/>
    </row>
    <row r="17" spans="2:12" x14ac:dyDescent="0.55000000000000004">
      <c r="B17" t="s">
        <v>20</v>
      </c>
      <c r="C17" s="6"/>
      <c r="D17" s="5" t="s">
        <v>15</v>
      </c>
      <c r="E17" s="5" t="s">
        <v>155</v>
      </c>
      <c r="F17" s="5" t="s">
        <v>220</v>
      </c>
      <c r="H17" t="s">
        <v>24</v>
      </c>
      <c r="I17" s="4"/>
      <c r="J17" s="5" t="s">
        <v>15</v>
      </c>
      <c r="K17" s="5" t="s">
        <v>155</v>
      </c>
      <c r="L17" s="5" t="s">
        <v>26</v>
      </c>
    </row>
    <row r="18" spans="2:12" ht="12.4" customHeight="1" x14ac:dyDescent="0.55000000000000004">
      <c r="B18" s="27"/>
      <c r="C18" s="27"/>
      <c r="D18" s="26">
        <v>3</v>
      </c>
      <c r="E18" s="5" t="s">
        <v>158</v>
      </c>
      <c r="F18" s="28">
        <v>5</v>
      </c>
      <c r="H18" s="27"/>
      <c r="I18" s="27"/>
      <c r="J18" s="26">
        <v>4</v>
      </c>
      <c r="K18" s="5" t="s">
        <v>158</v>
      </c>
      <c r="L18" s="28">
        <v>5</v>
      </c>
    </row>
    <row r="19" spans="2:12" ht="12.4" customHeight="1" x14ac:dyDescent="0.55000000000000004">
      <c r="B19" s="27"/>
      <c r="C19" s="27"/>
      <c r="D19" s="26"/>
      <c r="E19" s="5" t="s">
        <v>221</v>
      </c>
      <c r="F19" s="28"/>
      <c r="H19" s="27"/>
      <c r="I19" s="27"/>
      <c r="J19" s="26"/>
      <c r="K19" s="5" t="s">
        <v>222</v>
      </c>
      <c r="L19" s="28"/>
    </row>
    <row r="20" spans="2:12" x14ac:dyDescent="0.55000000000000004">
      <c r="B20" s="5" t="s">
        <v>162</v>
      </c>
      <c r="C20" s="5" t="s">
        <v>167</v>
      </c>
      <c r="D20" s="5" t="s">
        <v>223</v>
      </c>
      <c r="E20" s="5" t="s">
        <v>224</v>
      </c>
      <c r="F20" s="5" t="s">
        <v>225</v>
      </c>
      <c r="H20" s="5" t="s">
        <v>162</v>
      </c>
      <c r="I20" s="5" t="s">
        <v>167</v>
      </c>
      <c r="J20" s="5" t="s">
        <v>175</v>
      </c>
      <c r="K20" s="5" t="s">
        <v>226</v>
      </c>
      <c r="L20" s="5" t="s">
        <v>227</v>
      </c>
    </row>
    <row r="21" spans="2:12" x14ac:dyDescent="0.55000000000000004">
      <c r="B21" s="5" t="s">
        <v>171</v>
      </c>
      <c r="C21" s="5" t="s">
        <v>163</v>
      </c>
      <c r="D21" s="5" t="s">
        <v>228</v>
      </c>
      <c r="E21" s="5" t="s">
        <v>229</v>
      </c>
      <c r="F21" s="5" t="s">
        <v>230</v>
      </c>
      <c r="H21" s="5" t="s">
        <v>171</v>
      </c>
      <c r="I21" s="5" t="s">
        <v>163</v>
      </c>
      <c r="J21" s="5" t="s">
        <v>168</v>
      </c>
      <c r="K21" s="5" t="s">
        <v>231</v>
      </c>
      <c r="L21" s="5" t="s">
        <v>232</v>
      </c>
    </row>
    <row r="22" spans="2:12" x14ac:dyDescent="0.55000000000000004">
      <c r="B22" s="5" t="s">
        <v>178</v>
      </c>
      <c r="C22" s="5" t="s">
        <v>163</v>
      </c>
      <c r="D22" s="5" t="s">
        <v>233</v>
      </c>
      <c r="E22" s="5" t="s">
        <v>234</v>
      </c>
      <c r="F22" s="5" t="s">
        <v>235</v>
      </c>
      <c r="H22" s="5" t="s">
        <v>178</v>
      </c>
      <c r="I22" s="5" t="s">
        <v>163</v>
      </c>
      <c r="J22" s="5" t="s">
        <v>121</v>
      </c>
      <c r="K22" s="5" t="s">
        <v>236</v>
      </c>
      <c r="L22" s="5" t="s">
        <v>237</v>
      </c>
    </row>
    <row r="23" spans="2:12" x14ac:dyDescent="0.55000000000000004">
      <c r="B23" s="5" t="s">
        <v>184</v>
      </c>
      <c r="C23" s="5" t="s">
        <v>163</v>
      </c>
      <c r="D23" s="5" t="s">
        <v>238</v>
      </c>
      <c r="E23" s="5" t="s">
        <v>239</v>
      </c>
      <c r="F23" s="5" t="s">
        <v>240</v>
      </c>
      <c r="H23" s="5" t="s">
        <v>184</v>
      </c>
      <c r="I23" s="5" t="s">
        <v>163</v>
      </c>
      <c r="J23" s="5" t="s">
        <v>185</v>
      </c>
      <c r="K23" s="5" t="s">
        <v>241</v>
      </c>
      <c r="L23" s="5" t="s">
        <v>242</v>
      </c>
    </row>
    <row r="24" spans="2:12" x14ac:dyDescent="0.55000000000000004">
      <c r="B24" s="5" t="s">
        <v>191</v>
      </c>
      <c r="C24" s="5" t="s">
        <v>163</v>
      </c>
      <c r="D24" s="5" t="s">
        <v>243</v>
      </c>
      <c r="E24" s="5" t="s">
        <v>244</v>
      </c>
      <c r="F24" s="5" t="s">
        <v>245</v>
      </c>
      <c r="H24" s="5" t="s">
        <v>191</v>
      </c>
      <c r="I24" s="5" t="s">
        <v>163</v>
      </c>
      <c r="J24" s="5" t="s">
        <v>192</v>
      </c>
      <c r="K24" s="5" t="s">
        <v>246</v>
      </c>
      <c r="L24" s="5" t="s">
        <v>247</v>
      </c>
    </row>
    <row r="25" spans="2:12" x14ac:dyDescent="0.55000000000000004">
      <c r="B25" s="5" t="s">
        <v>196</v>
      </c>
      <c r="C25" s="5" t="s">
        <v>163</v>
      </c>
      <c r="D25" s="5" t="s">
        <v>248</v>
      </c>
      <c r="E25" s="5" t="s">
        <v>249</v>
      </c>
      <c r="F25" s="5" t="s">
        <v>250</v>
      </c>
      <c r="H25" s="5" t="s">
        <v>196</v>
      </c>
      <c r="I25" s="5" t="s">
        <v>167</v>
      </c>
      <c r="J25" s="5" t="s">
        <v>188</v>
      </c>
      <c r="K25" s="5" t="s">
        <v>251</v>
      </c>
      <c r="L25" s="5" t="s">
        <v>252</v>
      </c>
    </row>
    <row r="26" spans="2:12" x14ac:dyDescent="0.55000000000000004">
      <c r="B26" s="5" t="s">
        <v>201</v>
      </c>
      <c r="C26" s="5" t="s">
        <v>167</v>
      </c>
      <c r="D26" s="5" t="s">
        <v>253</v>
      </c>
      <c r="E26" s="5" t="s">
        <v>254</v>
      </c>
      <c r="F26" s="5" t="s">
        <v>255</v>
      </c>
      <c r="H26" s="5" t="s">
        <v>201</v>
      </c>
      <c r="I26" s="5" t="s">
        <v>163</v>
      </c>
      <c r="J26" s="5" t="s">
        <v>202</v>
      </c>
      <c r="K26" s="5" t="s">
        <v>246</v>
      </c>
      <c r="L26" s="5" t="s">
        <v>256</v>
      </c>
    </row>
    <row r="27" spans="2:12" x14ac:dyDescent="0.55000000000000004">
      <c r="B27" s="5" t="s">
        <v>207</v>
      </c>
      <c r="C27" s="5" t="s">
        <v>167</v>
      </c>
      <c r="D27" s="5" t="s">
        <v>257</v>
      </c>
      <c r="E27" s="5" t="s">
        <v>258</v>
      </c>
      <c r="F27" s="5" t="s">
        <v>259</v>
      </c>
      <c r="H27" s="5" t="s">
        <v>207</v>
      </c>
      <c r="I27" s="5" t="s">
        <v>167</v>
      </c>
      <c r="J27" s="5" t="s">
        <v>211</v>
      </c>
      <c r="K27" s="5" t="s">
        <v>260</v>
      </c>
      <c r="L27" s="5" t="s">
        <v>261</v>
      </c>
    </row>
    <row r="28" spans="2:12" x14ac:dyDescent="0.55000000000000004">
      <c r="B28" s="5" t="s">
        <v>213</v>
      </c>
      <c r="C28" s="5"/>
      <c r="D28" s="5" t="s">
        <v>262</v>
      </c>
      <c r="E28" s="5" t="s">
        <v>263</v>
      </c>
      <c r="F28" s="5" t="s">
        <v>264</v>
      </c>
      <c r="H28" s="5" t="s">
        <v>213</v>
      </c>
      <c r="I28" s="5" t="s">
        <v>167</v>
      </c>
      <c r="J28" s="5" t="s">
        <v>208</v>
      </c>
      <c r="K28" s="5" t="s">
        <v>265</v>
      </c>
      <c r="L28" s="5" t="s">
        <v>266</v>
      </c>
    </row>
    <row r="30" spans="2:12" ht="22.5" x14ac:dyDescent="0.55000000000000004">
      <c r="B30" s="29" t="s">
        <v>267</v>
      </c>
      <c r="C30" s="29"/>
      <c r="D30" s="29"/>
      <c r="E30" s="29"/>
      <c r="F30" s="29"/>
      <c r="H30" s="30" t="s">
        <v>268</v>
      </c>
      <c r="I30" s="30"/>
      <c r="J30" s="30"/>
      <c r="K30" s="30"/>
      <c r="L30" s="30"/>
    </row>
    <row r="31" spans="2:12" x14ac:dyDescent="0.55000000000000004">
      <c r="B31" t="s">
        <v>28</v>
      </c>
      <c r="C31" s="6"/>
      <c r="D31" s="5" t="s">
        <v>15</v>
      </c>
      <c r="E31" s="5" t="s">
        <v>155</v>
      </c>
      <c r="F31" s="5" t="s">
        <v>269</v>
      </c>
      <c r="H31" t="s">
        <v>32</v>
      </c>
      <c r="I31" s="6"/>
      <c r="J31" s="5" t="s">
        <v>15</v>
      </c>
      <c r="K31" s="5" t="s">
        <v>155</v>
      </c>
      <c r="L31" s="5" t="s">
        <v>270</v>
      </c>
    </row>
    <row r="32" spans="2:12" x14ac:dyDescent="0.55000000000000004">
      <c r="B32" s="27"/>
      <c r="C32" s="27"/>
      <c r="D32" s="28">
        <v>4</v>
      </c>
      <c r="E32" s="5" t="s">
        <v>271</v>
      </c>
      <c r="F32" s="26">
        <v>1</v>
      </c>
      <c r="H32" s="27"/>
      <c r="I32" s="27"/>
      <c r="J32" s="26">
        <v>2</v>
      </c>
      <c r="K32" s="5" t="s">
        <v>271</v>
      </c>
      <c r="L32" s="28">
        <v>3</v>
      </c>
    </row>
    <row r="33" spans="2:12" ht="12.4" customHeight="1" x14ac:dyDescent="0.55000000000000004">
      <c r="B33" s="27"/>
      <c r="C33" s="27"/>
      <c r="D33" s="28"/>
      <c r="E33" s="5" t="s">
        <v>272</v>
      </c>
      <c r="F33" s="26"/>
      <c r="H33" s="27"/>
      <c r="I33" s="27"/>
      <c r="J33" s="26"/>
      <c r="K33" s="5" t="s">
        <v>273</v>
      </c>
      <c r="L33" s="28"/>
    </row>
    <row r="34" spans="2:12" x14ac:dyDescent="0.55000000000000004">
      <c r="B34" s="5" t="s">
        <v>162</v>
      </c>
      <c r="C34" s="5" t="s">
        <v>163</v>
      </c>
      <c r="D34" s="5" t="s">
        <v>121</v>
      </c>
      <c r="E34" s="5" t="s">
        <v>274</v>
      </c>
      <c r="F34" s="5" t="s">
        <v>275</v>
      </c>
      <c r="H34" s="5" t="s">
        <v>162</v>
      </c>
      <c r="I34" s="5" t="s">
        <v>163</v>
      </c>
      <c r="J34" s="5" t="s">
        <v>175</v>
      </c>
      <c r="K34" s="5" t="s">
        <v>276</v>
      </c>
      <c r="L34" s="5" t="s">
        <v>277</v>
      </c>
    </row>
    <row r="35" spans="2:12" x14ac:dyDescent="0.55000000000000004">
      <c r="B35" s="5" t="s">
        <v>171</v>
      </c>
      <c r="C35" s="5" t="s">
        <v>167</v>
      </c>
      <c r="D35" s="5" t="s">
        <v>175</v>
      </c>
      <c r="E35" s="5" t="s">
        <v>278</v>
      </c>
      <c r="F35" s="5" t="s">
        <v>279</v>
      </c>
      <c r="H35" s="5" t="s">
        <v>171</v>
      </c>
      <c r="I35" s="5" t="s">
        <v>167</v>
      </c>
      <c r="J35" s="5" t="s">
        <v>168</v>
      </c>
      <c r="K35" s="5" t="s">
        <v>224</v>
      </c>
      <c r="L35" s="5" t="s">
        <v>280</v>
      </c>
    </row>
    <row r="36" spans="2:12" x14ac:dyDescent="0.55000000000000004">
      <c r="B36" s="5" t="s">
        <v>184</v>
      </c>
      <c r="C36" s="5" t="s">
        <v>167</v>
      </c>
      <c r="D36" s="5" t="s">
        <v>185</v>
      </c>
      <c r="E36" s="5" t="s">
        <v>281</v>
      </c>
      <c r="F36" s="5" t="s">
        <v>282</v>
      </c>
      <c r="H36" s="5" t="s">
        <v>184</v>
      </c>
      <c r="I36" s="5" t="s">
        <v>163</v>
      </c>
      <c r="J36" s="5" t="s">
        <v>208</v>
      </c>
      <c r="K36" s="5" t="s">
        <v>283</v>
      </c>
      <c r="L36" s="5" t="s">
        <v>202</v>
      </c>
    </row>
    <row r="37" spans="2:12" x14ac:dyDescent="0.55000000000000004">
      <c r="B37" s="5" t="s">
        <v>191</v>
      </c>
      <c r="C37" s="5" t="s">
        <v>167</v>
      </c>
      <c r="D37" s="5" t="s">
        <v>208</v>
      </c>
      <c r="E37" s="5" t="s">
        <v>284</v>
      </c>
      <c r="F37" s="5" t="s">
        <v>285</v>
      </c>
      <c r="H37" s="5" t="s">
        <v>191</v>
      </c>
      <c r="I37" s="5" t="s">
        <v>167</v>
      </c>
      <c r="J37" s="5" t="s">
        <v>202</v>
      </c>
      <c r="K37" s="5" t="s">
        <v>286</v>
      </c>
      <c r="L37" s="5" t="s">
        <v>287</v>
      </c>
    </row>
    <row r="38" spans="2:12" x14ac:dyDescent="0.55000000000000004">
      <c r="B38" s="5" t="s">
        <v>196</v>
      </c>
      <c r="C38" s="5" t="s">
        <v>167</v>
      </c>
      <c r="D38" s="5" t="s">
        <v>188</v>
      </c>
      <c r="E38" s="5" t="s">
        <v>288</v>
      </c>
      <c r="F38" s="5" t="s">
        <v>289</v>
      </c>
      <c r="H38" s="5" t="s">
        <v>196</v>
      </c>
      <c r="I38" s="5" t="s">
        <v>163</v>
      </c>
      <c r="J38" s="5" t="s">
        <v>211</v>
      </c>
      <c r="K38" s="5" t="s">
        <v>283</v>
      </c>
      <c r="L38" s="5" t="s">
        <v>200</v>
      </c>
    </row>
  </sheetData>
  <mergeCells count="30">
    <mergeCell ref="L32:L33"/>
    <mergeCell ref="H30:L30"/>
    <mergeCell ref="B2:F2"/>
    <mergeCell ref="H2:L2"/>
    <mergeCell ref="B4:B5"/>
    <mergeCell ref="C4:C5"/>
    <mergeCell ref="D4:D5"/>
    <mergeCell ref="F4:F5"/>
    <mergeCell ref="H4:H5"/>
    <mergeCell ref="I4:I5"/>
    <mergeCell ref="J4:J5"/>
    <mergeCell ref="L4:L5"/>
    <mergeCell ref="B16:F16"/>
    <mergeCell ref="H16:L16"/>
    <mergeCell ref="J18:J19"/>
    <mergeCell ref="L18:L19"/>
    <mergeCell ref="J32:J33"/>
    <mergeCell ref="H32:H33"/>
    <mergeCell ref="F18:F19"/>
    <mergeCell ref="H18:H19"/>
    <mergeCell ref="I18:I19"/>
    <mergeCell ref="B30:F30"/>
    <mergeCell ref="D32:D33"/>
    <mergeCell ref="F32:F33"/>
    <mergeCell ref="B32:B33"/>
    <mergeCell ref="C32:C33"/>
    <mergeCell ref="B18:B19"/>
    <mergeCell ref="C18:C19"/>
    <mergeCell ref="D18:D19"/>
    <mergeCell ref="I32:I33"/>
  </mergeCells>
  <phoneticPr fontId="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36"/>
  <sheetViews>
    <sheetView workbookViewId="0"/>
  </sheetViews>
  <sheetFormatPr defaultRowHeight="18" x14ac:dyDescent="0.55000000000000004"/>
  <cols>
    <col min="2" max="3" width="4.08203125" customWidth="1"/>
    <col min="4" max="4" width="17.58203125" customWidth="1"/>
    <col min="5" max="5" width="15.58203125" customWidth="1"/>
    <col min="6" max="6" width="17.58203125" customWidth="1"/>
    <col min="8" max="9" width="4.08203125" customWidth="1"/>
    <col min="10" max="10" width="17.58203125" customWidth="1"/>
    <col min="11" max="11" width="15.58203125" customWidth="1"/>
    <col min="12" max="12" width="17.58203125" customWidth="1"/>
  </cols>
  <sheetData>
    <row r="2" spans="2:12" x14ac:dyDescent="0.55000000000000004">
      <c r="B2" s="30" t="s">
        <v>290</v>
      </c>
      <c r="C2" s="30"/>
      <c r="D2" s="30"/>
      <c r="E2" s="30"/>
      <c r="F2" s="30"/>
      <c r="H2" s="30" t="s">
        <v>291</v>
      </c>
      <c r="I2" s="30"/>
      <c r="J2" s="30"/>
      <c r="K2" s="30"/>
      <c r="L2" s="30"/>
    </row>
    <row r="3" spans="2:12" x14ac:dyDescent="0.55000000000000004">
      <c r="B3" t="s">
        <v>35</v>
      </c>
      <c r="C3" s="6"/>
      <c r="D3" s="5" t="s">
        <v>15</v>
      </c>
      <c r="E3" s="5" t="s">
        <v>155</v>
      </c>
      <c r="F3" s="5" t="s">
        <v>292</v>
      </c>
      <c r="H3" t="s">
        <v>37</v>
      </c>
      <c r="I3" s="6"/>
      <c r="J3" s="5" t="s">
        <v>15</v>
      </c>
      <c r="K3" s="5" t="s">
        <v>155</v>
      </c>
      <c r="L3" s="5" t="s">
        <v>293</v>
      </c>
    </row>
    <row r="4" spans="2:12" ht="12.4" customHeight="1" x14ac:dyDescent="0.55000000000000004">
      <c r="B4" s="27"/>
      <c r="C4" s="27"/>
      <c r="D4" s="26">
        <v>1</v>
      </c>
      <c r="E4" s="5" t="s">
        <v>271</v>
      </c>
      <c r="F4" s="28">
        <v>4</v>
      </c>
      <c r="H4" s="27"/>
      <c r="I4" s="27"/>
      <c r="J4" s="26">
        <v>0</v>
      </c>
      <c r="K4" s="5" t="s">
        <v>294</v>
      </c>
      <c r="L4" s="28">
        <v>5</v>
      </c>
    </row>
    <row r="5" spans="2:12" ht="12.4" customHeight="1" x14ac:dyDescent="0.55000000000000004">
      <c r="B5" s="27"/>
      <c r="C5" s="27"/>
      <c r="D5" s="26"/>
      <c r="E5" s="5" t="s">
        <v>273</v>
      </c>
      <c r="F5" s="28"/>
      <c r="H5" s="27"/>
      <c r="I5" s="27"/>
      <c r="J5" s="26"/>
      <c r="K5" s="5" t="s">
        <v>295</v>
      </c>
      <c r="L5" s="28"/>
    </row>
    <row r="6" spans="2:12" x14ac:dyDescent="0.55000000000000004">
      <c r="B6" s="5" t="s">
        <v>162</v>
      </c>
      <c r="C6" s="5" t="s">
        <v>179</v>
      </c>
      <c r="D6" s="5" t="s">
        <v>296</v>
      </c>
      <c r="E6" s="5" t="s">
        <v>297</v>
      </c>
      <c r="F6" s="5" t="s">
        <v>298</v>
      </c>
      <c r="H6" s="5" t="s">
        <v>162</v>
      </c>
      <c r="I6" s="5" t="s">
        <v>163</v>
      </c>
      <c r="J6" s="5" t="s">
        <v>299</v>
      </c>
      <c r="K6" s="5" t="s">
        <v>300</v>
      </c>
      <c r="L6" s="5" t="s">
        <v>301</v>
      </c>
    </row>
    <row r="7" spans="2:12" x14ac:dyDescent="0.55000000000000004">
      <c r="B7" s="5" t="s">
        <v>171</v>
      </c>
      <c r="C7" s="5" t="s">
        <v>163</v>
      </c>
      <c r="D7" s="5" t="s">
        <v>302</v>
      </c>
      <c r="E7" s="5" t="s">
        <v>303</v>
      </c>
      <c r="F7" s="5" t="s">
        <v>304</v>
      </c>
      <c r="H7" s="5" t="s">
        <v>171</v>
      </c>
      <c r="I7" s="5" t="s">
        <v>163</v>
      </c>
      <c r="J7" s="5" t="s">
        <v>305</v>
      </c>
      <c r="K7" s="5" t="s">
        <v>246</v>
      </c>
      <c r="L7" s="5" t="s">
        <v>306</v>
      </c>
    </row>
    <row r="8" spans="2:12" x14ac:dyDescent="0.55000000000000004">
      <c r="B8" s="5" t="s">
        <v>184</v>
      </c>
      <c r="C8" s="5" t="s">
        <v>163</v>
      </c>
      <c r="D8" s="5" t="s">
        <v>307</v>
      </c>
      <c r="E8" s="5" t="s">
        <v>308</v>
      </c>
      <c r="F8" s="5" t="s">
        <v>309</v>
      </c>
      <c r="H8" s="5" t="s">
        <v>184</v>
      </c>
      <c r="I8" s="5" t="s">
        <v>163</v>
      </c>
      <c r="J8" s="5" t="s">
        <v>307</v>
      </c>
      <c r="K8" s="5" t="s">
        <v>300</v>
      </c>
      <c r="L8" s="5" t="s">
        <v>310</v>
      </c>
    </row>
    <row r="9" spans="2:12" x14ac:dyDescent="0.55000000000000004">
      <c r="B9" s="5" t="s">
        <v>191</v>
      </c>
      <c r="C9" s="5" t="s">
        <v>163</v>
      </c>
      <c r="D9" s="5" t="s">
        <v>257</v>
      </c>
      <c r="E9" s="5" t="s">
        <v>311</v>
      </c>
      <c r="F9" s="5" t="s">
        <v>312</v>
      </c>
      <c r="H9" s="5" t="s">
        <v>191</v>
      </c>
      <c r="I9" s="5" t="s">
        <v>163</v>
      </c>
      <c r="J9" s="5" t="s">
        <v>313</v>
      </c>
      <c r="K9" s="5" t="s">
        <v>300</v>
      </c>
      <c r="L9" s="5" t="s">
        <v>314</v>
      </c>
    </row>
    <row r="10" spans="2:12" x14ac:dyDescent="0.55000000000000004">
      <c r="B10" s="5" t="s">
        <v>196</v>
      </c>
      <c r="C10" s="5" t="s">
        <v>163</v>
      </c>
      <c r="D10" s="5" t="s">
        <v>315</v>
      </c>
      <c r="E10" s="5" t="s">
        <v>316</v>
      </c>
      <c r="F10" s="5" t="s">
        <v>317</v>
      </c>
      <c r="H10" s="5" t="s">
        <v>196</v>
      </c>
      <c r="I10" s="5" t="s">
        <v>163</v>
      </c>
      <c r="J10" s="5" t="s">
        <v>315</v>
      </c>
      <c r="K10" s="5" t="s">
        <v>318</v>
      </c>
      <c r="L10" s="5" t="s">
        <v>319</v>
      </c>
    </row>
    <row r="11" spans="2:12" x14ac:dyDescent="0.55000000000000004">
      <c r="B11" s="1"/>
      <c r="C11" s="1"/>
      <c r="D11" s="1"/>
      <c r="E11" s="1"/>
      <c r="F11" s="1"/>
      <c r="H11" s="1"/>
      <c r="I11" s="1"/>
      <c r="J11" s="1"/>
      <c r="K11" s="1"/>
      <c r="L11" s="1"/>
    </row>
    <row r="12" spans="2:12" x14ac:dyDescent="0.55000000000000004">
      <c r="B12" s="36" t="s">
        <v>320</v>
      </c>
      <c r="C12" s="36"/>
      <c r="D12" s="36"/>
      <c r="E12" s="36"/>
      <c r="F12" s="36"/>
      <c r="H12" s="36" t="s">
        <v>321</v>
      </c>
      <c r="I12" s="36"/>
      <c r="J12" s="36"/>
      <c r="K12" s="36"/>
      <c r="L12" s="36"/>
    </row>
    <row r="13" spans="2:12" x14ac:dyDescent="0.55000000000000004">
      <c r="B13" t="s">
        <v>38</v>
      </c>
      <c r="C13" s="6"/>
      <c r="D13" s="5" t="s">
        <v>15</v>
      </c>
      <c r="E13" s="5" t="s">
        <v>155</v>
      </c>
      <c r="F13" s="5" t="s">
        <v>322</v>
      </c>
      <c r="H13" t="s">
        <v>39</v>
      </c>
      <c r="I13" s="4"/>
      <c r="J13" s="5" t="s">
        <v>15</v>
      </c>
      <c r="K13" s="5" t="s">
        <v>155</v>
      </c>
      <c r="L13" s="5" t="s">
        <v>156</v>
      </c>
    </row>
    <row r="14" spans="2:12" x14ac:dyDescent="0.55000000000000004">
      <c r="B14" s="27"/>
      <c r="C14" s="27"/>
      <c r="D14" s="28">
        <v>3</v>
      </c>
      <c r="E14" s="5" t="s">
        <v>294</v>
      </c>
      <c r="F14" s="26">
        <v>2</v>
      </c>
      <c r="H14" s="31"/>
      <c r="I14" s="31"/>
      <c r="J14" s="26">
        <v>0</v>
      </c>
      <c r="K14" s="5" t="s">
        <v>323</v>
      </c>
      <c r="L14" s="37">
        <v>0</v>
      </c>
    </row>
    <row r="15" spans="2:12" x14ac:dyDescent="0.55000000000000004">
      <c r="B15" s="27"/>
      <c r="C15" s="27"/>
      <c r="D15" s="28"/>
      <c r="E15" s="5" t="s">
        <v>295</v>
      </c>
      <c r="F15" s="26"/>
      <c r="H15" s="31"/>
      <c r="I15" s="31"/>
      <c r="J15" s="26"/>
      <c r="K15" s="5" t="s">
        <v>324</v>
      </c>
      <c r="L15" s="37"/>
    </row>
    <row r="16" spans="2:12" x14ac:dyDescent="0.55000000000000004">
      <c r="B16" s="5" t="s">
        <v>162</v>
      </c>
      <c r="C16" s="7" t="s">
        <v>179</v>
      </c>
      <c r="D16" s="5" t="s">
        <v>325</v>
      </c>
      <c r="E16" s="5" t="s">
        <v>326</v>
      </c>
      <c r="F16" s="5" t="s">
        <v>327</v>
      </c>
      <c r="H16" s="5" t="s">
        <v>162</v>
      </c>
      <c r="I16" s="4"/>
      <c r="J16" s="5" t="s">
        <v>299</v>
      </c>
      <c r="K16" s="5" t="s">
        <v>328</v>
      </c>
      <c r="L16" s="5" t="s">
        <v>329</v>
      </c>
    </row>
    <row r="17" spans="2:12" x14ac:dyDescent="0.55000000000000004">
      <c r="B17" s="5" t="s">
        <v>171</v>
      </c>
      <c r="C17" s="7" t="s">
        <v>163</v>
      </c>
      <c r="D17" s="5" t="s">
        <v>299</v>
      </c>
      <c r="E17" s="5" t="s">
        <v>330</v>
      </c>
      <c r="F17" s="5" t="s">
        <v>331</v>
      </c>
      <c r="H17" s="5" t="s">
        <v>171</v>
      </c>
      <c r="I17" s="4"/>
      <c r="J17" s="5" t="s">
        <v>305</v>
      </c>
      <c r="K17" s="5" t="s">
        <v>332</v>
      </c>
      <c r="L17" s="5" t="s">
        <v>333</v>
      </c>
    </row>
    <row r="18" spans="2:12" ht="12.4" customHeight="1" x14ac:dyDescent="0.55000000000000004">
      <c r="B18" s="5" t="s">
        <v>184</v>
      </c>
      <c r="C18" s="7" t="s">
        <v>163</v>
      </c>
      <c r="D18" s="5" t="s">
        <v>307</v>
      </c>
      <c r="E18" s="5" t="s">
        <v>334</v>
      </c>
      <c r="F18" s="5" t="s">
        <v>335</v>
      </c>
      <c r="H18" s="5" t="s">
        <v>184</v>
      </c>
      <c r="I18" s="4"/>
      <c r="J18" s="7" t="s">
        <v>307</v>
      </c>
      <c r="K18" s="7" t="s">
        <v>336</v>
      </c>
      <c r="L18" s="8" t="s">
        <v>337</v>
      </c>
    </row>
    <row r="19" spans="2:12" ht="12.4" customHeight="1" x14ac:dyDescent="0.55000000000000004">
      <c r="B19" s="5" t="s">
        <v>191</v>
      </c>
      <c r="C19" s="7" t="s">
        <v>179</v>
      </c>
      <c r="D19" s="5" t="s">
        <v>313</v>
      </c>
      <c r="E19" s="5" t="s">
        <v>338</v>
      </c>
      <c r="F19" s="5" t="s">
        <v>339</v>
      </c>
      <c r="H19" s="5" t="s">
        <v>191</v>
      </c>
      <c r="I19" s="4"/>
      <c r="J19" s="7" t="s">
        <v>315</v>
      </c>
      <c r="K19" s="7" t="s">
        <v>336</v>
      </c>
      <c r="L19" s="8" t="s">
        <v>340</v>
      </c>
    </row>
    <row r="20" spans="2:12" x14ac:dyDescent="0.55000000000000004">
      <c r="B20" s="5" t="s">
        <v>196</v>
      </c>
      <c r="C20" s="7" t="s">
        <v>179</v>
      </c>
      <c r="D20" s="5" t="s">
        <v>315</v>
      </c>
      <c r="E20" s="5" t="s">
        <v>341</v>
      </c>
      <c r="F20" s="5" t="s">
        <v>257</v>
      </c>
      <c r="H20" s="5" t="s">
        <v>196</v>
      </c>
      <c r="I20" s="4"/>
      <c r="J20" s="7" t="s">
        <v>313</v>
      </c>
      <c r="K20" s="7" t="s">
        <v>336</v>
      </c>
      <c r="L20" s="8" t="s">
        <v>342</v>
      </c>
    </row>
    <row r="21" spans="2:12" x14ac:dyDescent="0.55000000000000004">
      <c r="B21" s="1"/>
      <c r="C21" s="1"/>
      <c r="D21" s="1"/>
      <c r="E21" s="1"/>
      <c r="F21" s="1"/>
      <c r="H21" s="1"/>
      <c r="I21" s="1"/>
      <c r="J21" s="1"/>
      <c r="K21" s="1"/>
      <c r="L21" s="1"/>
    </row>
    <row r="22" spans="2:12" x14ac:dyDescent="0.55000000000000004">
      <c r="B22" s="30" t="s">
        <v>343</v>
      </c>
      <c r="C22" s="30"/>
      <c r="D22" s="30"/>
      <c r="E22" s="30"/>
      <c r="F22" s="30"/>
      <c r="H22" s="30" t="s">
        <v>344</v>
      </c>
      <c r="I22" s="30"/>
      <c r="J22" s="30"/>
      <c r="K22" s="30"/>
      <c r="L22" s="30"/>
    </row>
    <row r="23" spans="2:12" x14ac:dyDescent="0.55000000000000004">
      <c r="B23" t="s">
        <v>41</v>
      </c>
      <c r="C23" s="6"/>
      <c r="D23" s="5" t="s">
        <v>15</v>
      </c>
      <c r="E23" s="5" t="s">
        <v>155</v>
      </c>
      <c r="F23" s="5" t="s">
        <v>345</v>
      </c>
      <c r="H23" t="s">
        <v>42</v>
      </c>
      <c r="I23" s="6"/>
      <c r="J23" s="5" t="s">
        <v>15</v>
      </c>
      <c r="K23" s="5" t="s">
        <v>155</v>
      </c>
      <c r="L23" s="5" t="s">
        <v>157</v>
      </c>
    </row>
    <row r="24" spans="2:12" ht="18.649999999999999" customHeight="1" x14ac:dyDescent="0.55000000000000004">
      <c r="B24" s="27"/>
      <c r="C24" s="27"/>
      <c r="D24" s="28">
        <v>2</v>
      </c>
      <c r="E24" s="5" t="s">
        <v>346</v>
      </c>
      <c r="F24" s="26">
        <v>1</v>
      </c>
      <c r="H24" s="6"/>
      <c r="I24" s="6"/>
      <c r="J24" s="32">
        <v>2</v>
      </c>
      <c r="K24" s="5" t="s">
        <v>346</v>
      </c>
      <c r="L24" s="34">
        <v>1</v>
      </c>
    </row>
    <row r="25" spans="2:12" ht="12.4" customHeight="1" x14ac:dyDescent="0.55000000000000004">
      <c r="B25" s="27"/>
      <c r="C25" s="27"/>
      <c r="D25" s="28"/>
      <c r="E25" s="5" t="s">
        <v>347</v>
      </c>
      <c r="F25" s="26"/>
      <c r="H25" s="6"/>
      <c r="I25" s="6"/>
      <c r="J25" s="33"/>
      <c r="K25" s="5" t="s">
        <v>347</v>
      </c>
      <c r="L25" s="35"/>
    </row>
    <row r="26" spans="2:12" ht="12.4" customHeight="1" x14ac:dyDescent="0.55000000000000004">
      <c r="B26" s="5" t="s">
        <v>162</v>
      </c>
      <c r="C26" s="5" t="s">
        <v>167</v>
      </c>
      <c r="D26" s="5" t="s">
        <v>348</v>
      </c>
      <c r="E26" s="5" t="s">
        <v>194</v>
      </c>
      <c r="F26" s="5" t="s">
        <v>349</v>
      </c>
      <c r="H26" s="5" t="s">
        <v>162</v>
      </c>
      <c r="I26" s="5" t="s">
        <v>163</v>
      </c>
      <c r="J26" s="5" t="s">
        <v>302</v>
      </c>
      <c r="K26" s="5" t="s">
        <v>350</v>
      </c>
      <c r="L26" s="5" t="s">
        <v>351</v>
      </c>
    </row>
    <row r="27" spans="2:12" x14ac:dyDescent="0.55000000000000004">
      <c r="B27" s="5" t="s">
        <v>171</v>
      </c>
      <c r="C27" s="5" t="s">
        <v>167</v>
      </c>
      <c r="D27" s="5" t="s">
        <v>315</v>
      </c>
      <c r="E27" s="5" t="s">
        <v>182</v>
      </c>
      <c r="F27" s="5" t="s">
        <v>352</v>
      </c>
      <c r="H27" s="5" t="s">
        <v>171</v>
      </c>
      <c r="I27" s="5" t="s">
        <v>167</v>
      </c>
      <c r="J27" s="5" t="s">
        <v>315</v>
      </c>
      <c r="K27" s="5" t="s">
        <v>226</v>
      </c>
      <c r="L27" s="5" t="s">
        <v>353</v>
      </c>
    </row>
    <row r="28" spans="2:12" x14ac:dyDescent="0.55000000000000004">
      <c r="B28" s="5" t="s">
        <v>184</v>
      </c>
      <c r="C28" s="5" t="s">
        <v>163</v>
      </c>
      <c r="D28" s="5" t="s">
        <v>313</v>
      </c>
      <c r="E28" s="5" t="s">
        <v>300</v>
      </c>
      <c r="F28" s="5" t="s">
        <v>354</v>
      </c>
      <c r="H28" s="5" t="s">
        <v>184</v>
      </c>
      <c r="I28" s="5" t="s">
        <v>167</v>
      </c>
      <c r="J28" s="5" t="s">
        <v>307</v>
      </c>
      <c r="K28" s="5" t="s">
        <v>355</v>
      </c>
      <c r="L28" s="5" t="s">
        <v>356</v>
      </c>
    </row>
    <row r="29" spans="2:12" ht="22.5" x14ac:dyDescent="0.55000000000000004">
      <c r="B29" s="2"/>
      <c r="E29" s="3"/>
    </row>
    <row r="30" spans="2:12" x14ac:dyDescent="0.55000000000000004">
      <c r="B30" s="30" t="s">
        <v>357</v>
      </c>
      <c r="C30" s="30"/>
      <c r="D30" s="30"/>
      <c r="E30" s="30"/>
      <c r="F30" s="30"/>
    </row>
    <row r="31" spans="2:12" x14ac:dyDescent="0.55000000000000004">
      <c r="B31" t="s">
        <v>43</v>
      </c>
      <c r="C31" s="6"/>
      <c r="D31" s="5" t="s">
        <v>15</v>
      </c>
      <c r="E31" s="5" t="s">
        <v>155</v>
      </c>
      <c r="F31" s="5" t="s">
        <v>358</v>
      </c>
    </row>
    <row r="32" spans="2:12" x14ac:dyDescent="0.55000000000000004">
      <c r="B32" s="31"/>
      <c r="C32" s="27"/>
      <c r="D32" s="26">
        <v>0</v>
      </c>
      <c r="E32" s="5" t="s">
        <v>359</v>
      </c>
      <c r="F32" s="28">
        <v>3</v>
      </c>
    </row>
    <row r="33" spans="2:6" x14ac:dyDescent="0.55000000000000004">
      <c r="B33" s="31"/>
      <c r="C33" s="27"/>
      <c r="D33" s="26"/>
      <c r="E33" s="5" t="s">
        <v>360</v>
      </c>
      <c r="F33" s="28"/>
    </row>
    <row r="34" spans="2:6" x14ac:dyDescent="0.55000000000000004">
      <c r="B34" s="5" t="s">
        <v>162</v>
      </c>
      <c r="C34" s="5" t="s">
        <v>163</v>
      </c>
      <c r="D34" s="5" t="s">
        <v>361</v>
      </c>
      <c r="E34" s="5" t="s">
        <v>173</v>
      </c>
      <c r="F34" s="5" t="s">
        <v>362</v>
      </c>
    </row>
    <row r="35" spans="2:6" x14ac:dyDescent="0.55000000000000004">
      <c r="B35" s="5" t="s">
        <v>171</v>
      </c>
      <c r="C35" s="5" t="s">
        <v>163</v>
      </c>
      <c r="D35" s="5" t="s">
        <v>313</v>
      </c>
      <c r="E35" s="5" t="s">
        <v>363</v>
      </c>
      <c r="F35" s="5" t="s">
        <v>364</v>
      </c>
    </row>
    <row r="36" spans="2:6" x14ac:dyDescent="0.55000000000000004">
      <c r="B36" s="5" t="s">
        <v>184</v>
      </c>
      <c r="C36" s="5" t="s">
        <v>163</v>
      </c>
      <c r="D36" s="5" t="s">
        <v>208</v>
      </c>
      <c r="E36" s="5" t="s">
        <v>365</v>
      </c>
      <c r="F36" s="5" t="s">
        <v>366</v>
      </c>
    </row>
  </sheetData>
  <mergeCells count="33">
    <mergeCell ref="B2:F2"/>
    <mergeCell ref="H2:L2"/>
    <mergeCell ref="B4:B5"/>
    <mergeCell ref="C4:C5"/>
    <mergeCell ref="D4:D5"/>
    <mergeCell ref="F4:F5"/>
    <mergeCell ref="H4:H5"/>
    <mergeCell ref="I4:I5"/>
    <mergeCell ref="J4:J5"/>
    <mergeCell ref="L4:L5"/>
    <mergeCell ref="H12:L12"/>
    <mergeCell ref="B24:B25"/>
    <mergeCell ref="C24:C25"/>
    <mergeCell ref="B14:B15"/>
    <mergeCell ref="C14:C15"/>
    <mergeCell ref="D14:D15"/>
    <mergeCell ref="F14:F15"/>
    <mergeCell ref="B12:F12"/>
    <mergeCell ref="H14:H15"/>
    <mergeCell ref="F24:F25"/>
    <mergeCell ref="B22:F22"/>
    <mergeCell ref="I14:I15"/>
    <mergeCell ref="J14:J15"/>
    <mergeCell ref="L14:L15"/>
    <mergeCell ref="H22:L22"/>
    <mergeCell ref="D24:D25"/>
    <mergeCell ref="J24:J25"/>
    <mergeCell ref="L24:L25"/>
    <mergeCell ref="B32:B33"/>
    <mergeCell ref="C32:C33"/>
    <mergeCell ref="D32:D33"/>
    <mergeCell ref="F32:F33"/>
    <mergeCell ref="B30:F30"/>
  </mergeCells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20"/>
  <sheetViews>
    <sheetView workbookViewId="0"/>
  </sheetViews>
  <sheetFormatPr defaultRowHeight="18" x14ac:dyDescent="0.55000000000000004"/>
  <cols>
    <col min="2" max="3" width="4.08203125" customWidth="1"/>
    <col min="4" max="4" width="17.58203125" customWidth="1"/>
    <col min="5" max="5" width="15.58203125" customWidth="1"/>
    <col min="6" max="6" width="17.58203125" customWidth="1"/>
    <col min="8" max="9" width="4.08203125" customWidth="1"/>
    <col min="10" max="10" width="17.58203125" customWidth="1"/>
    <col min="11" max="11" width="15.58203125" customWidth="1"/>
    <col min="12" max="12" width="17.58203125" customWidth="1"/>
  </cols>
  <sheetData>
    <row r="1" spans="2:12" x14ac:dyDescent="0.55000000000000004">
      <c r="B1" s="1"/>
      <c r="C1" s="1"/>
      <c r="D1" s="1"/>
      <c r="E1" s="1"/>
      <c r="F1" s="1"/>
      <c r="H1" s="1"/>
      <c r="I1" s="1"/>
      <c r="J1" s="1"/>
      <c r="K1" s="1"/>
      <c r="L1" s="1"/>
    </row>
    <row r="2" spans="2:12" x14ac:dyDescent="0.55000000000000004">
      <c r="B2" s="30" t="s">
        <v>367</v>
      </c>
      <c r="C2" s="30"/>
      <c r="D2" s="30"/>
      <c r="E2" s="30"/>
      <c r="F2" s="30"/>
      <c r="H2" s="30" t="s">
        <v>368</v>
      </c>
      <c r="I2" s="30"/>
      <c r="J2" s="30"/>
      <c r="K2" s="30"/>
      <c r="L2" s="30"/>
    </row>
    <row r="3" spans="2:12" x14ac:dyDescent="0.55000000000000004">
      <c r="B3" t="s">
        <v>45</v>
      </c>
      <c r="C3" s="6"/>
      <c r="D3" s="5" t="s">
        <v>15</v>
      </c>
      <c r="E3" s="5" t="s">
        <v>155</v>
      </c>
      <c r="F3" s="5" t="s">
        <v>369</v>
      </c>
      <c r="H3" t="s">
        <v>47</v>
      </c>
      <c r="I3" s="6"/>
      <c r="J3" s="5" t="s">
        <v>15</v>
      </c>
      <c r="K3" s="5" t="s">
        <v>155</v>
      </c>
      <c r="L3" s="5" t="s">
        <v>156</v>
      </c>
    </row>
    <row r="4" spans="2:12" x14ac:dyDescent="0.55000000000000004">
      <c r="B4" s="27"/>
      <c r="C4" s="27"/>
      <c r="D4" s="28">
        <v>4</v>
      </c>
      <c r="E4" s="5" t="s">
        <v>271</v>
      </c>
      <c r="F4" s="26">
        <v>1</v>
      </c>
      <c r="H4" s="31"/>
      <c r="I4" s="27"/>
      <c r="J4" s="28">
        <v>3</v>
      </c>
      <c r="K4" s="5" t="s">
        <v>346</v>
      </c>
      <c r="L4" s="26">
        <v>1</v>
      </c>
    </row>
    <row r="5" spans="2:12" x14ac:dyDescent="0.55000000000000004">
      <c r="B5" s="27"/>
      <c r="C5" s="27"/>
      <c r="D5" s="28"/>
      <c r="E5" s="5" t="s">
        <v>272</v>
      </c>
      <c r="F5" s="26"/>
      <c r="H5" s="31"/>
      <c r="I5" s="27"/>
      <c r="J5" s="28"/>
      <c r="K5" s="5" t="s">
        <v>370</v>
      </c>
      <c r="L5" s="26"/>
    </row>
    <row r="6" spans="2:12" x14ac:dyDescent="0.55000000000000004">
      <c r="B6" s="5" t="s">
        <v>162</v>
      </c>
      <c r="C6" s="5" t="s">
        <v>163</v>
      </c>
      <c r="D6" s="5" t="s">
        <v>371</v>
      </c>
      <c r="E6" s="5" t="s">
        <v>372</v>
      </c>
      <c r="F6" s="5" t="s">
        <v>373</v>
      </c>
      <c r="H6" s="5" t="s">
        <v>162</v>
      </c>
      <c r="I6" s="5" t="s">
        <v>179</v>
      </c>
      <c r="J6" s="5" t="s">
        <v>371</v>
      </c>
      <c r="K6" s="5" t="s">
        <v>374</v>
      </c>
      <c r="L6" s="5" t="s">
        <v>375</v>
      </c>
    </row>
    <row r="7" spans="2:12" x14ac:dyDescent="0.55000000000000004">
      <c r="B7" s="5" t="s">
        <v>171</v>
      </c>
      <c r="C7" s="5" t="s">
        <v>179</v>
      </c>
      <c r="D7" s="5" t="s">
        <v>376</v>
      </c>
      <c r="E7" s="5" t="s">
        <v>377</v>
      </c>
      <c r="F7" s="5" t="s">
        <v>378</v>
      </c>
      <c r="H7" s="5" t="s">
        <v>171</v>
      </c>
      <c r="I7" s="5"/>
      <c r="J7" s="5" t="s">
        <v>376</v>
      </c>
      <c r="K7" s="5" t="s">
        <v>379</v>
      </c>
      <c r="L7" s="5" t="s">
        <v>380</v>
      </c>
    </row>
    <row r="8" spans="2:12" x14ac:dyDescent="0.55000000000000004">
      <c r="B8" s="5" t="s">
        <v>184</v>
      </c>
      <c r="C8" s="5" t="s">
        <v>179</v>
      </c>
      <c r="D8" s="5" t="s">
        <v>381</v>
      </c>
      <c r="E8" s="5" t="s">
        <v>284</v>
      </c>
      <c r="F8" s="5" t="s">
        <v>382</v>
      </c>
      <c r="H8" s="5" t="s">
        <v>184</v>
      </c>
      <c r="I8" s="5" t="s">
        <v>179</v>
      </c>
      <c r="J8" s="5" t="s">
        <v>381</v>
      </c>
      <c r="K8" s="5" t="s">
        <v>226</v>
      </c>
      <c r="L8" s="5" t="s">
        <v>383</v>
      </c>
    </row>
    <row r="9" spans="2:12" x14ac:dyDescent="0.55000000000000004">
      <c r="B9" s="5" t="s">
        <v>191</v>
      </c>
      <c r="C9" s="5" t="s">
        <v>179</v>
      </c>
      <c r="D9" s="5" t="s">
        <v>384</v>
      </c>
      <c r="E9" s="5" t="s">
        <v>281</v>
      </c>
      <c r="F9" s="5" t="s">
        <v>385</v>
      </c>
      <c r="H9" s="5" t="s">
        <v>191</v>
      </c>
      <c r="I9" s="5" t="s">
        <v>179</v>
      </c>
      <c r="J9" s="5" t="s">
        <v>384</v>
      </c>
      <c r="K9" s="5" t="s">
        <v>224</v>
      </c>
      <c r="L9" s="5" t="s">
        <v>386</v>
      </c>
    </row>
    <row r="10" spans="2:12" x14ac:dyDescent="0.55000000000000004">
      <c r="B10" s="5" t="s">
        <v>196</v>
      </c>
      <c r="C10" s="5" t="s">
        <v>179</v>
      </c>
      <c r="D10" s="5" t="s">
        <v>387</v>
      </c>
      <c r="E10" s="5" t="s">
        <v>182</v>
      </c>
      <c r="F10" s="5" t="s">
        <v>388</v>
      </c>
      <c r="H10" s="5" t="s">
        <v>196</v>
      </c>
      <c r="I10" s="5" t="s">
        <v>163</v>
      </c>
      <c r="J10" s="5" t="s">
        <v>387</v>
      </c>
      <c r="K10" s="5" t="s">
        <v>389</v>
      </c>
      <c r="L10" s="5" t="s">
        <v>390</v>
      </c>
    </row>
    <row r="12" spans="2:12" x14ac:dyDescent="0.55000000000000004">
      <c r="B12" s="30" t="s">
        <v>391</v>
      </c>
      <c r="C12" s="30"/>
      <c r="D12" s="30"/>
      <c r="E12" s="30"/>
      <c r="F12" s="30"/>
      <c r="H12" s="30" t="s">
        <v>392</v>
      </c>
      <c r="I12" s="30"/>
      <c r="J12" s="30"/>
      <c r="K12" s="30"/>
      <c r="L12" s="30"/>
    </row>
    <row r="13" spans="2:12" x14ac:dyDescent="0.55000000000000004">
      <c r="B13" t="s">
        <v>48</v>
      </c>
      <c r="C13" s="6"/>
      <c r="D13" s="5" t="s">
        <v>15</v>
      </c>
      <c r="E13" s="5" t="s">
        <v>155</v>
      </c>
      <c r="F13" s="5" t="s">
        <v>369</v>
      </c>
      <c r="H13" t="s">
        <v>50</v>
      </c>
      <c r="I13" s="6"/>
      <c r="J13" s="5" t="s">
        <v>15</v>
      </c>
      <c r="K13" s="5" t="s">
        <v>155</v>
      </c>
      <c r="L13" s="5" t="s">
        <v>393</v>
      </c>
    </row>
    <row r="14" spans="2:12" x14ac:dyDescent="0.55000000000000004">
      <c r="B14" s="27"/>
      <c r="C14" s="27"/>
      <c r="D14" s="28">
        <v>3</v>
      </c>
      <c r="E14" s="5" t="s">
        <v>346</v>
      </c>
      <c r="F14" s="26">
        <v>0</v>
      </c>
      <c r="H14" s="27"/>
      <c r="I14" s="27"/>
      <c r="J14" s="26">
        <v>0</v>
      </c>
      <c r="K14" s="5" t="s">
        <v>294</v>
      </c>
      <c r="L14" s="28">
        <v>4</v>
      </c>
    </row>
    <row r="15" spans="2:12" x14ac:dyDescent="0.55000000000000004">
      <c r="B15" s="27"/>
      <c r="C15" s="27"/>
      <c r="D15" s="28"/>
      <c r="E15" s="5" t="s">
        <v>394</v>
      </c>
      <c r="F15" s="26"/>
      <c r="H15" s="27"/>
      <c r="I15" s="27"/>
      <c r="J15" s="26"/>
      <c r="K15" s="5" t="s">
        <v>360</v>
      </c>
      <c r="L15" s="28"/>
    </row>
    <row r="16" spans="2:12" x14ac:dyDescent="0.55000000000000004">
      <c r="B16" s="5" t="s">
        <v>162</v>
      </c>
      <c r="C16" s="5"/>
      <c r="D16" s="5" t="s">
        <v>376</v>
      </c>
      <c r="E16" s="5" t="s">
        <v>395</v>
      </c>
      <c r="F16" s="5" t="s">
        <v>396</v>
      </c>
      <c r="H16" s="5" t="s">
        <v>162</v>
      </c>
      <c r="I16" s="5" t="s">
        <v>397</v>
      </c>
      <c r="J16" s="5" t="s">
        <v>376</v>
      </c>
      <c r="K16" s="5" t="s">
        <v>398</v>
      </c>
      <c r="L16" s="5" t="s">
        <v>399</v>
      </c>
    </row>
    <row r="17" spans="2:12" x14ac:dyDescent="0.55000000000000004">
      <c r="B17" s="5" t="s">
        <v>171</v>
      </c>
      <c r="C17" s="5" t="s">
        <v>179</v>
      </c>
      <c r="D17" s="5" t="s">
        <v>400</v>
      </c>
      <c r="E17" s="5" t="s">
        <v>401</v>
      </c>
      <c r="F17" s="5" t="s">
        <v>402</v>
      </c>
      <c r="H17" s="5" t="s">
        <v>171</v>
      </c>
      <c r="I17" s="5" t="s">
        <v>163</v>
      </c>
      <c r="J17" s="5" t="s">
        <v>371</v>
      </c>
      <c r="K17" s="5" t="s">
        <v>283</v>
      </c>
      <c r="L17" s="5" t="s">
        <v>403</v>
      </c>
    </row>
    <row r="18" spans="2:12" x14ac:dyDescent="0.55000000000000004">
      <c r="B18" s="5" t="s">
        <v>184</v>
      </c>
      <c r="C18" s="5"/>
      <c r="D18" s="5" t="s">
        <v>384</v>
      </c>
      <c r="E18" s="5" t="s">
        <v>404</v>
      </c>
      <c r="F18" s="5" t="s">
        <v>385</v>
      </c>
      <c r="H18" s="5" t="s">
        <v>184</v>
      </c>
      <c r="I18" s="5"/>
      <c r="J18" s="5" t="s">
        <v>381</v>
      </c>
      <c r="K18" s="5" t="s">
        <v>405</v>
      </c>
      <c r="L18" s="5" t="s">
        <v>406</v>
      </c>
    </row>
    <row r="19" spans="2:12" x14ac:dyDescent="0.55000000000000004">
      <c r="B19" s="5" t="s">
        <v>191</v>
      </c>
      <c r="C19" s="5" t="s">
        <v>179</v>
      </c>
      <c r="D19" s="5" t="s">
        <v>381</v>
      </c>
      <c r="E19" s="5" t="s">
        <v>182</v>
      </c>
      <c r="F19" s="5" t="s">
        <v>382</v>
      </c>
      <c r="H19" s="5" t="s">
        <v>191</v>
      </c>
      <c r="I19" s="5" t="s">
        <v>163</v>
      </c>
      <c r="J19" s="5" t="s">
        <v>384</v>
      </c>
      <c r="K19" s="5" t="s">
        <v>407</v>
      </c>
      <c r="L19" s="5" t="s">
        <v>408</v>
      </c>
    </row>
    <row r="20" spans="2:12" x14ac:dyDescent="0.55000000000000004">
      <c r="B20" s="5" t="s">
        <v>196</v>
      </c>
      <c r="C20" s="5" t="s">
        <v>179</v>
      </c>
      <c r="D20" s="5" t="s">
        <v>409</v>
      </c>
      <c r="E20" s="5" t="s">
        <v>284</v>
      </c>
      <c r="F20" s="5" t="s">
        <v>410</v>
      </c>
      <c r="H20" s="5" t="s">
        <v>196</v>
      </c>
      <c r="I20" s="5" t="s">
        <v>163</v>
      </c>
      <c r="J20" s="5" t="s">
        <v>387</v>
      </c>
      <c r="K20" s="5" t="s">
        <v>176</v>
      </c>
      <c r="L20" s="5" t="s">
        <v>411</v>
      </c>
    </row>
  </sheetData>
  <mergeCells count="20">
    <mergeCell ref="B12:F12"/>
    <mergeCell ref="H12:L12"/>
    <mergeCell ref="B14:B15"/>
    <mergeCell ref="C14:C15"/>
    <mergeCell ref="D14:D15"/>
    <mergeCell ref="F14:F15"/>
    <mergeCell ref="H14:H15"/>
    <mergeCell ref="I14:I15"/>
    <mergeCell ref="J14:J15"/>
    <mergeCell ref="L14:L15"/>
    <mergeCell ref="H2:L2"/>
    <mergeCell ref="B4:B5"/>
    <mergeCell ref="C4:C5"/>
    <mergeCell ref="D4:D5"/>
    <mergeCell ref="F4:F5"/>
    <mergeCell ref="H4:H5"/>
    <mergeCell ref="I4:I5"/>
    <mergeCell ref="J4:J5"/>
    <mergeCell ref="L4:L5"/>
    <mergeCell ref="B2:F2"/>
  </mergeCells>
  <phoneticPr fontId="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OBOG2026</vt:lpstr>
      <vt:lpstr>MENS2026</vt:lpstr>
      <vt:lpstr>WOMENS2026</vt:lpstr>
      <vt:lpstr>NURSING2026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伸哉 都竹</cp:lastModifiedBy>
  <dcterms:modified xsi:type="dcterms:W3CDTF">2026-09-18T17:35:01Z</dcterms:modified>
</cp:coreProperties>
</file>